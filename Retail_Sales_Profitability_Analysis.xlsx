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24226"/>
  <mc:AlternateContent xmlns:mc="http://schemas.openxmlformats.org/markup-compatibility/2006">
    <mc:Choice Requires="x15">
      <x15ac:absPath xmlns:x15ac="http://schemas.microsoft.com/office/spreadsheetml/2010/11/ac" url="https://d.docs.live.net/a4ab3c1b58552483/Desktop/"/>
    </mc:Choice>
  </mc:AlternateContent>
  <xr:revisionPtr revIDLastSave="1" documentId="8_{5663DB38-3F48-405C-9B97-4597ABAE77C6}" xr6:coauthVersionLast="47" xr6:coauthVersionMax="47" xr10:uidLastSave="{5937F923-EA3A-41D0-8CC2-11B44BD17168}"/>
  <bookViews>
    <workbookView xWindow="-108" yWindow="-108" windowWidth="23256" windowHeight="12456" firstSheet="1" activeTab="4" xr2:uid="{00000000-000D-0000-FFFF-FFFF00000000}"/>
  </bookViews>
  <sheets>
    <sheet name="Raw Dataset" sheetId="2" r:id="rId1"/>
    <sheet name="Cleaned Dataset" sheetId="3" r:id="rId2"/>
    <sheet name="Cleaning Log " sheetId="4" r:id="rId3"/>
    <sheet name="Analysis" sheetId="5" r:id="rId4"/>
    <sheet name="Dashboard" sheetId="7" r:id="rId5"/>
    <sheet name="Pivot Analysis" sheetId="6" r:id="rId6"/>
  </sheets>
  <definedNames>
    <definedName name="_xlnm._FilterDatabase" localSheetId="1" hidden="1">'Cleaned Dataset'!$A$1:$I$121</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5" i="7" l="1"/>
  <c r="H5" i="7"/>
  <c r="F5" i="7"/>
  <c r="D5" i="7"/>
  <c r="B5" i="7"/>
  <c r="D4" i="5"/>
  <c r="C4" i="5"/>
  <c r="F4" i="5" s="1"/>
  <c r="B4" i="5"/>
  <c r="E4" i="5" s="1"/>
  <c r="L53" i="3"/>
  <c r="L52" i="3"/>
  <c r="O3" i="3"/>
  <c r="P3" i="3"/>
  <c r="Q3" i="3"/>
  <c r="O4" i="3"/>
  <c r="P4" i="3"/>
  <c r="Q4" i="3"/>
  <c r="O5" i="3"/>
  <c r="P5" i="3"/>
  <c r="Q5" i="3"/>
  <c r="O6" i="3"/>
  <c r="P6" i="3"/>
  <c r="Q6" i="3"/>
  <c r="O7" i="3"/>
  <c r="P7" i="3"/>
  <c r="Q7" i="3"/>
  <c r="O8" i="3"/>
  <c r="P8" i="3"/>
  <c r="Q8" i="3"/>
  <c r="O9" i="3"/>
  <c r="P9" i="3"/>
  <c r="Q9" i="3"/>
  <c r="O10" i="3"/>
  <c r="P10" i="3"/>
  <c r="Q10" i="3"/>
  <c r="O11" i="3"/>
  <c r="P11" i="3"/>
  <c r="Q11" i="3"/>
  <c r="O12" i="3"/>
  <c r="P12" i="3"/>
  <c r="Q12" i="3"/>
  <c r="O13" i="3"/>
  <c r="P13" i="3"/>
  <c r="Q13" i="3"/>
  <c r="O14" i="3"/>
  <c r="P14" i="3"/>
  <c r="Q14" i="3"/>
  <c r="O15" i="3"/>
  <c r="P15" i="3"/>
  <c r="Q15" i="3"/>
  <c r="O16" i="3"/>
  <c r="P16" i="3"/>
  <c r="Q16" i="3"/>
  <c r="O17" i="3"/>
  <c r="P17" i="3"/>
  <c r="Q17" i="3"/>
  <c r="O18" i="3"/>
  <c r="P18" i="3"/>
  <c r="Q18" i="3"/>
  <c r="O19" i="3"/>
  <c r="P19" i="3"/>
  <c r="Q19" i="3"/>
  <c r="O20" i="3"/>
  <c r="P20" i="3"/>
  <c r="Q20" i="3"/>
  <c r="O21" i="3"/>
  <c r="P21" i="3"/>
  <c r="Q21" i="3"/>
  <c r="O22" i="3"/>
  <c r="P22" i="3"/>
  <c r="Q22" i="3"/>
  <c r="O23" i="3"/>
  <c r="P23" i="3"/>
  <c r="Q23" i="3"/>
  <c r="O24" i="3"/>
  <c r="P24" i="3"/>
  <c r="Q24" i="3"/>
  <c r="O25" i="3"/>
  <c r="P25" i="3"/>
  <c r="Q25" i="3"/>
  <c r="O26" i="3"/>
  <c r="P26" i="3"/>
  <c r="Q26" i="3"/>
  <c r="O27" i="3"/>
  <c r="P27" i="3"/>
  <c r="Q27" i="3"/>
  <c r="O28" i="3"/>
  <c r="P28" i="3"/>
  <c r="Q28" i="3"/>
  <c r="O29" i="3"/>
  <c r="P29" i="3"/>
  <c r="Q29" i="3"/>
  <c r="O30" i="3"/>
  <c r="P30" i="3"/>
  <c r="Q30" i="3"/>
  <c r="O31" i="3"/>
  <c r="P31" i="3"/>
  <c r="Q31" i="3"/>
  <c r="O32" i="3"/>
  <c r="P32" i="3"/>
  <c r="Q32" i="3"/>
  <c r="O33" i="3"/>
  <c r="P33" i="3"/>
  <c r="Q33" i="3"/>
  <c r="O34" i="3"/>
  <c r="P34" i="3"/>
  <c r="Q34" i="3"/>
  <c r="O35" i="3"/>
  <c r="P35" i="3"/>
  <c r="Q35" i="3"/>
  <c r="O36" i="3"/>
  <c r="P36" i="3"/>
  <c r="Q36" i="3"/>
  <c r="O37" i="3"/>
  <c r="P37" i="3"/>
  <c r="Q37" i="3"/>
  <c r="O38" i="3"/>
  <c r="P38" i="3"/>
  <c r="Q38" i="3"/>
  <c r="O39" i="3"/>
  <c r="P39" i="3"/>
  <c r="Q39" i="3"/>
  <c r="O40" i="3"/>
  <c r="P40" i="3"/>
  <c r="Q40" i="3"/>
  <c r="O41" i="3"/>
  <c r="P41" i="3"/>
  <c r="Q41" i="3"/>
  <c r="O42" i="3"/>
  <c r="P42" i="3"/>
  <c r="Q42" i="3"/>
  <c r="O43" i="3"/>
  <c r="P43" i="3"/>
  <c r="Q43" i="3"/>
  <c r="O44" i="3"/>
  <c r="P44" i="3"/>
  <c r="Q44" i="3"/>
  <c r="O45" i="3"/>
  <c r="P45" i="3"/>
  <c r="Q45" i="3"/>
  <c r="O46" i="3"/>
  <c r="P46" i="3"/>
  <c r="Q46" i="3"/>
  <c r="O47" i="3"/>
  <c r="P47" i="3"/>
  <c r="Q47" i="3"/>
  <c r="O48" i="3"/>
  <c r="P48" i="3"/>
  <c r="Q48" i="3"/>
  <c r="O49" i="3"/>
  <c r="P49" i="3"/>
  <c r="Q49" i="3"/>
  <c r="O50" i="3"/>
  <c r="P50" i="3"/>
  <c r="Q50" i="3"/>
  <c r="O51" i="3"/>
  <c r="P51" i="3"/>
  <c r="Q51" i="3"/>
  <c r="O52" i="3"/>
  <c r="P52" i="3"/>
  <c r="Q52" i="3"/>
  <c r="O53" i="3"/>
  <c r="P53" i="3"/>
  <c r="Q53" i="3"/>
  <c r="O54" i="3"/>
  <c r="P54" i="3"/>
  <c r="Q54" i="3"/>
  <c r="O55" i="3"/>
  <c r="P55" i="3"/>
  <c r="Q55" i="3"/>
  <c r="O56" i="3"/>
  <c r="P56" i="3"/>
  <c r="Q56" i="3"/>
  <c r="O57" i="3"/>
  <c r="P57" i="3"/>
  <c r="Q57" i="3"/>
  <c r="O58" i="3"/>
  <c r="P58" i="3"/>
  <c r="Q58" i="3"/>
  <c r="O59" i="3"/>
  <c r="P59" i="3"/>
  <c r="Q59" i="3"/>
  <c r="O60" i="3"/>
  <c r="P60" i="3"/>
  <c r="Q60" i="3"/>
  <c r="O61" i="3"/>
  <c r="P61" i="3"/>
  <c r="Q61" i="3"/>
  <c r="O62" i="3"/>
  <c r="P62" i="3"/>
  <c r="Q62" i="3"/>
  <c r="O63" i="3"/>
  <c r="P63" i="3"/>
  <c r="Q63" i="3"/>
  <c r="O64" i="3"/>
  <c r="P64" i="3"/>
  <c r="Q64" i="3"/>
  <c r="O65" i="3"/>
  <c r="P65" i="3"/>
  <c r="Q65" i="3"/>
  <c r="O66" i="3"/>
  <c r="P66" i="3"/>
  <c r="Q66" i="3"/>
  <c r="O67" i="3"/>
  <c r="P67" i="3"/>
  <c r="Q67" i="3"/>
  <c r="O68" i="3"/>
  <c r="P68" i="3"/>
  <c r="Q68" i="3"/>
  <c r="O69" i="3"/>
  <c r="P69" i="3"/>
  <c r="Q69" i="3"/>
  <c r="O70" i="3"/>
  <c r="P70" i="3"/>
  <c r="Q70" i="3"/>
  <c r="O71" i="3"/>
  <c r="P71" i="3"/>
  <c r="Q71" i="3"/>
  <c r="O72" i="3"/>
  <c r="P72" i="3"/>
  <c r="Q72" i="3"/>
  <c r="O73" i="3"/>
  <c r="P73" i="3"/>
  <c r="Q73" i="3"/>
  <c r="O74" i="3"/>
  <c r="P74" i="3"/>
  <c r="Q74" i="3"/>
  <c r="O75" i="3"/>
  <c r="P75" i="3"/>
  <c r="Q75" i="3"/>
  <c r="O76" i="3"/>
  <c r="P76" i="3"/>
  <c r="Q76" i="3"/>
  <c r="O77" i="3"/>
  <c r="P77" i="3"/>
  <c r="Q77" i="3"/>
  <c r="O78" i="3"/>
  <c r="P78" i="3"/>
  <c r="Q78" i="3"/>
  <c r="O79" i="3"/>
  <c r="P79" i="3"/>
  <c r="Q79" i="3"/>
  <c r="O80" i="3"/>
  <c r="P80" i="3"/>
  <c r="Q80" i="3"/>
  <c r="O81" i="3"/>
  <c r="P81" i="3"/>
  <c r="Q81" i="3"/>
  <c r="O82" i="3"/>
  <c r="P82" i="3"/>
  <c r="Q82" i="3"/>
  <c r="O83" i="3"/>
  <c r="P83" i="3"/>
  <c r="Q83" i="3"/>
  <c r="O84" i="3"/>
  <c r="P84" i="3"/>
  <c r="Q84" i="3"/>
  <c r="O85" i="3"/>
  <c r="P85" i="3"/>
  <c r="Q85" i="3"/>
  <c r="O86" i="3"/>
  <c r="P86" i="3"/>
  <c r="Q86" i="3"/>
  <c r="O87" i="3"/>
  <c r="P87" i="3"/>
  <c r="Q87" i="3"/>
  <c r="O88" i="3"/>
  <c r="P88" i="3"/>
  <c r="Q88" i="3"/>
  <c r="O89" i="3"/>
  <c r="P89" i="3"/>
  <c r="Q89" i="3"/>
  <c r="O90" i="3"/>
  <c r="P90" i="3"/>
  <c r="Q90" i="3"/>
  <c r="O91" i="3"/>
  <c r="P91" i="3"/>
  <c r="Q91" i="3"/>
  <c r="O92" i="3"/>
  <c r="P92" i="3"/>
  <c r="Q92" i="3"/>
  <c r="O93" i="3"/>
  <c r="P93" i="3"/>
  <c r="Q93" i="3"/>
  <c r="O94" i="3"/>
  <c r="P94" i="3"/>
  <c r="Q94" i="3"/>
  <c r="O95" i="3"/>
  <c r="P95" i="3"/>
  <c r="Q95" i="3"/>
  <c r="O96" i="3"/>
  <c r="P96" i="3"/>
  <c r="Q96" i="3"/>
  <c r="O97" i="3"/>
  <c r="P97" i="3"/>
  <c r="Q97" i="3"/>
  <c r="O98" i="3"/>
  <c r="P98" i="3"/>
  <c r="Q98" i="3"/>
  <c r="O99" i="3"/>
  <c r="P99" i="3"/>
  <c r="Q99" i="3"/>
  <c r="O100" i="3"/>
  <c r="P100" i="3"/>
  <c r="Q100" i="3"/>
  <c r="O101" i="3"/>
  <c r="P101" i="3"/>
  <c r="Q101" i="3"/>
  <c r="O102" i="3"/>
  <c r="P102" i="3"/>
  <c r="Q102" i="3"/>
  <c r="O103" i="3"/>
  <c r="P103" i="3"/>
  <c r="Q103" i="3"/>
  <c r="O104" i="3"/>
  <c r="P104" i="3"/>
  <c r="Q104" i="3"/>
  <c r="O105" i="3"/>
  <c r="P105" i="3"/>
  <c r="Q105" i="3"/>
  <c r="O106" i="3"/>
  <c r="P106" i="3"/>
  <c r="Q106" i="3"/>
  <c r="O107" i="3"/>
  <c r="P107" i="3"/>
  <c r="Q107" i="3"/>
  <c r="O108" i="3"/>
  <c r="P108" i="3"/>
  <c r="Q108" i="3"/>
  <c r="O109" i="3"/>
  <c r="P109" i="3"/>
  <c r="Q109" i="3"/>
  <c r="O110" i="3"/>
  <c r="P110" i="3"/>
  <c r="Q110" i="3"/>
  <c r="O111" i="3"/>
  <c r="P111" i="3"/>
  <c r="Q111" i="3"/>
  <c r="O112" i="3"/>
  <c r="P112" i="3"/>
  <c r="Q112" i="3"/>
  <c r="O113" i="3"/>
  <c r="P113" i="3"/>
  <c r="Q113" i="3"/>
  <c r="O114" i="3"/>
  <c r="P114" i="3"/>
  <c r="Q114" i="3"/>
  <c r="O115" i="3"/>
  <c r="P115" i="3"/>
  <c r="Q115" i="3"/>
  <c r="O116" i="3"/>
  <c r="P116" i="3"/>
  <c r="Q116" i="3"/>
  <c r="O117" i="3"/>
  <c r="P117" i="3"/>
  <c r="Q117" i="3"/>
  <c r="O118" i="3"/>
  <c r="P118" i="3"/>
  <c r="Q118" i="3"/>
  <c r="O119" i="3"/>
  <c r="P119" i="3"/>
  <c r="Q119" i="3"/>
  <c r="O120" i="3"/>
  <c r="P120" i="3"/>
  <c r="Q120" i="3"/>
  <c r="O121" i="3"/>
  <c r="P121" i="3"/>
  <c r="Q121" i="3"/>
  <c r="Q2" i="3"/>
  <c r="P2" i="3"/>
  <c r="O2" i="3"/>
  <c r="D29" i="6"/>
  <c r="D36" i="6"/>
  <c r="D34" i="6"/>
  <c r="D32" i="6"/>
  <c r="D27" i="6"/>
  <c r="Q25" i="6"/>
  <c r="Q21" i="6"/>
  <c r="Q17" i="6"/>
  <c r="D33" i="6"/>
  <c r="D28" i="6"/>
  <c r="D30" i="6"/>
  <c r="Q24" i="6"/>
  <c r="Q20" i="6"/>
  <c r="Q16" i="6"/>
  <c r="D35" i="6"/>
  <c r="D26" i="6"/>
  <c r="Q23" i="6"/>
  <c r="Q19" i="6"/>
  <c r="D31" i="6"/>
  <c r="Q26" i="6"/>
  <c r="Q22" i="6"/>
  <c r="Q18" i="6"/>
</calcChain>
</file>

<file path=xl/sharedStrings.xml><?xml version="1.0" encoding="utf-8"?>
<sst xmlns="http://schemas.openxmlformats.org/spreadsheetml/2006/main" count="1427" uniqueCount="258">
  <si>
    <t>Order ID</t>
  </si>
  <si>
    <t>Order Date</t>
  </si>
  <si>
    <t>Customer</t>
  </si>
  <si>
    <t>Product</t>
  </si>
  <si>
    <t>Category</t>
  </si>
  <si>
    <t>Region</t>
  </si>
  <si>
    <t>Quantity</t>
  </si>
  <si>
    <t>Sales</t>
  </si>
  <si>
    <t>Profit</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</si>
  <si>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</si>
  <si>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</si>
  <si>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</si>
  <si>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</si>
  <si>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</si>
  <si>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</si>
  <si>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</si>
  <si>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</si>
  <si>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</si>
  <si>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</si>
  <si>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</si>
  <si>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</si>
  <si>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</si>
  <si>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</si>
  <si>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</si>
  <si>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</si>
  <si>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</si>
  <si>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</si>
  <si>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</si>
  <si>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</si>
  <si>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</si>
  <si>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</si>
  <si>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</si>
  <si>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</si>
  <si>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</si>
  <si>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</si>
  <si>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</si>
  <si>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</si>
  <si>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</si>
  <si>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</si>
  <si>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</si>
  <si>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</si>
  <si>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</si>
  <si>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</si>
  <si>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</si>
  <si>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</si>
  <si>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</si>
  <si>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</si>
  <si>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</si>
  <si>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</si>
  <si>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</si>
  <si>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</si>
  <si>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</si>
  <si>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</si>
  <si>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</si>
  <si>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</si>
  <si>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</si>
  <si>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</si>
  <si>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</si>
  <si>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</si>
  <si>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</si>
  <si>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</si>
  <si>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</si>
  <si>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</si>
  <si>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</si>
  <si>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</si>
  <si>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</si>
  <si>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</si>
  <si>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</si>
  <si>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</si>
  <si>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</si>
  <si>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</si>
  <si>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</si>
  <si>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</si>
  <si>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</si>
  <si>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</si>
  <si>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</si>
  <si>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</si>
  <si>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</si>
  <si>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</si>
  <si>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</si>
  <si>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</si>
  <si>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</si>
  <si>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</si>
  <si>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</si>
  <si>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</si>
  <si>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</si>
  <si>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</si>
  <si>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</si>
  <si>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</si>
  <si>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</si>
  <si>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</si>
  <si>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</si>
  <si>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</si>
  <si>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</si>
  <si>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</si>
  <si>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</si>
  <si>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</si>
  <si>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</si>
  <si>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</si>
  <si>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</si>
  <si>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</si>
  <si>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</si>
  <si>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</si>
  <si>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</si>
  <si>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</si>
  <si>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</si>
  <si>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</si>
  <si>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</si>
  <si>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</si>
  <si>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</si>
  <si>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</si>
  <si>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</si>
  <si>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</si>
  <si>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</si>
  <si>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</si>
  <si>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</si>
  <si>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</si>
  <si>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</si>
  <si>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</si>
  <si>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</si>
  <si>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</si>
  <si>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</si>
  <si>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</si>
  <si>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</si>
  <si>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</si>
  <si>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</si>
  <si>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</si>
  <si>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</si>
  <si>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</si>
  <si>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Riya Gupta</t>
  </si>
  <si>
    <t>Vikas Jain</t>
  </si>
  <si>
    <t>Simran Kaur</t>
  </si>
  <si>
    <t>Sneha Kapoor</t>
  </si>
  <si>
    <t>Priya Mehta</t>
  </si>
  <si>
    <t>Amit Verma</t>
  </si>
  <si>
    <t>Karan Arora</t>
  </si>
  <si>
    <t>Arjun Malhotra</t>
  </si>
  <si>
    <t>Neha Singh</t>
  </si>
  <si>
    <t>Rahul Sharma</t>
  </si>
  <si>
    <t>Monitor</t>
  </si>
  <si>
    <t>Keyboard</t>
  </si>
  <si>
    <t>Desk Lamp</t>
  </si>
  <si>
    <t>Office Table</t>
  </si>
  <si>
    <t>Laptop</t>
  </si>
  <si>
    <t>Mouse</t>
  </si>
  <si>
    <t>Sofa</t>
  </si>
  <si>
    <t>Phone</t>
  </si>
  <si>
    <t>Bookshelf</t>
  </si>
  <si>
    <t>Office Chair</t>
  </si>
  <si>
    <t>Electronics</t>
  </si>
  <si>
    <t>Furniture</t>
  </si>
  <si>
    <t>electronics</t>
  </si>
  <si>
    <t>North</t>
  </si>
  <si>
    <t>South</t>
  </si>
  <si>
    <t>East</t>
  </si>
  <si>
    <t>West</t>
  </si>
  <si>
    <t>north</t>
  </si>
  <si>
    <t>Issue</t>
  </si>
  <si>
    <t>Location</t>
  </si>
  <si>
    <t>Action Taken</t>
  </si>
  <si>
    <t>Reason</t>
  </si>
  <si>
    <t>Duplicate records</t>
  </si>
  <si>
    <t>2 duplicate rows</t>
  </si>
  <si>
    <t>Removed</t>
  </si>
  <si>
    <t>Exact duplicate transactions</t>
  </si>
  <si>
    <t>Missing Sales</t>
  </si>
  <si>
    <t>Kept blank &amp; flagged</t>
  </si>
  <si>
    <t>True value cannot be reliably derived</t>
  </si>
  <si>
    <t>Missing Profit</t>
  </si>
  <si>
    <t xml:space="preserve">Clean Customer </t>
  </si>
  <si>
    <t xml:space="preserve">Clean Category </t>
  </si>
  <si>
    <t>Clean Region</t>
  </si>
  <si>
    <t>Extra spaces</t>
  </si>
  <si>
    <t>Customer/Category/Region</t>
  </si>
  <si>
    <t>Applied TRIM to remove leading/trailing spaces</t>
  </si>
  <si>
    <t>To standardize text and prevent matching/filtering errors</t>
  </si>
  <si>
    <t>Incorrect/general data types</t>
  </si>
  <si>
    <t>Order Date, Quantity, Sales, Profit</t>
  </si>
  <si>
    <t>Converted to appropriate data types</t>
  </si>
  <si>
    <t>To ensure accurate calculations, sorting and analysis</t>
  </si>
  <si>
    <t>RETAIL SALES &amp; PROFITABILITY ANALYSIS</t>
  </si>
  <si>
    <t xml:space="preserve">TOTAL SALES </t>
  </si>
  <si>
    <t xml:space="preserve">TOTAL PROFIT </t>
  </si>
  <si>
    <t>TOTAL ORDERS</t>
  </si>
  <si>
    <t>AVERAGE ORDER VALUE</t>
  </si>
  <si>
    <t>PROFIT MARGIN</t>
  </si>
  <si>
    <t>Row Labels</t>
  </si>
  <si>
    <t>Grand Total</t>
  </si>
  <si>
    <t>Sum of Sales</t>
  </si>
  <si>
    <t>Sum of Profit</t>
  </si>
  <si>
    <t>PT1 — Regional Performance</t>
  </si>
  <si>
    <t>PT2 — Category Performance</t>
  </si>
  <si>
    <t>Sum of Quantity</t>
  </si>
  <si>
    <t>PT4 — Customer Performance</t>
  </si>
  <si>
    <t>Count of Order ID</t>
  </si>
  <si>
    <t>PT3 — Product Performance</t>
  </si>
  <si>
    <t>Jan</t>
  </si>
  <si>
    <t>Feb</t>
  </si>
  <si>
    <t>Mar</t>
  </si>
  <si>
    <t>Apr</t>
  </si>
  <si>
    <t>May</t>
  </si>
  <si>
    <t>Jun</t>
  </si>
  <si>
    <t>Jul</t>
  </si>
  <si>
    <t>Aug</t>
  </si>
  <si>
    <t>Sep</t>
  </si>
  <si>
    <t>Oct</t>
  </si>
  <si>
    <t>Nov</t>
  </si>
  <si>
    <t>Dec</t>
  </si>
  <si>
    <t>PT5 — Monthly Performance</t>
  </si>
  <si>
    <t>Column Labels</t>
  </si>
  <si>
    <t>PT6 — Regional Category Performance</t>
  </si>
  <si>
    <t>PT7 — Product Profitability</t>
  </si>
  <si>
    <t>Product Margin</t>
  </si>
  <si>
    <t>PT8 — Product Profit Ranking</t>
  </si>
  <si>
    <t>#</t>
  </si>
  <si>
    <t>Business Insight</t>
  </si>
  <si>
    <t>Evidence / Analysis</t>
  </si>
  <si>
    <t>Recommended Action</t>
  </si>
  <si>
    <t>Laptop is the strongest product performer.</t>
  </si>
  <si>
    <t>Laptop leads total sales and total profit, making it the strongest overall contributor.</t>
  </si>
  <si>
    <t>Protect availability, maintain competitive pricing, and explore opportunities to scale demand.</t>
  </si>
  <si>
    <t>Monitor represents a potential growth opportunity.</t>
  </si>
  <si>
    <t>Monitor has a relatively strong profit margin but comparatively lower sales.</t>
  </si>
  <si>
    <t>Investigate demand drivers and test targeted promotions while protecting margin.</t>
  </si>
  <si>
    <t>Office Chair requires profitability investigation.</t>
  </si>
  <si>
    <t>Office Chair has the lowest profit margin despite generating reasonable sales.</t>
  </si>
  <si>
    <t>Review pricing, discounts, sourcing/acquisition costs, and product profitability.</t>
  </si>
  <si>
    <t>North is the strongest region overall.</t>
  </si>
  <si>
    <t>North records the highest total sales and profit; strong Furniture sales are a major contributor.</t>
  </si>
  <si>
    <t>Maintain momentum and identify successful practices that can be replicated elsewhere.</t>
  </si>
  <si>
    <t>South is the weakest-performing region.</t>
  </si>
  <si>
    <t>South has the lowest overall sales and profit, with particularly weak Electronics sales.</t>
  </si>
  <si>
    <t>Investigate local demand, product mix, pricing, and promotional effectiveness.</t>
  </si>
  <si>
    <t>Electronics is the strongest category.</t>
  </si>
  <si>
    <t>Electronics generates the highest total sales and profit; East leads Electronics sales.</t>
  </si>
  <si>
    <t>Protect performance and study successful regional/product patterns for growth.</t>
  </si>
  <si>
    <t>Furniture is the key category requiring improvement.</t>
  </si>
  <si>
    <t>Furniture has the lowest total sales and profit, although North performs strongly in Furniture.</t>
  </si>
  <si>
    <t>Identify underperforming products and test targeted pricing, promotion, and assortment strategies.</t>
  </si>
  <si>
    <t>Sales performance is highly volatile across months.</t>
  </si>
  <si>
    <t>May records the highest sales and profit, while September records the lowest.</t>
  </si>
  <si>
    <t>Investigate the drivers of May's peak and September's decline for better planning.</t>
  </si>
  <si>
    <t>Priya Mehta is a particularly valuable customer.</t>
  </si>
  <si>
    <t>Priya Mehta has the highest total sales and profit and a high order frequency.</t>
  </si>
  <si>
    <t>Prioritize retention, personalized engagement, and cross-sell opportunities.</t>
  </si>
  <si>
    <t>Data quality must be considered in financial reporting.</t>
  </si>
  <si>
    <t>ORD1046 has missing Sales and ORD1053 has missing Profit; values were not imputed without reliable evidence.</t>
  </si>
  <si>
    <t>Flag incomplete transactions and validate source records before high-stakes decisions.</t>
  </si>
  <si>
    <t>EXECUTIVE TAKEAWAY</t>
  </si>
  <si>
    <t>The business is driven by strong Electronics performance and high-performing products such as Laptop, while North is the strongest region overall. Key opportunities are improving South and Furniture performance, investigating Office Chair's weak margin, and scaling high-margin products such as Monitor. Management should prioritize sustainable growth rather than blanket discounting.</t>
  </si>
  <si>
    <t>Methodology:</t>
  </si>
  <si>
    <t>Insights are based on the cleaned retail dataset and Pivot Table analysis covering region, category, product, customer, and monthly performance.</t>
  </si>
  <si>
    <t>Retail Sales &amp; Profitability Dashboard</t>
  </si>
  <si>
    <t xml:space="preserve">Monthly Sales and Profit Trend </t>
  </si>
  <si>
    <t>Regional Sales &amp; Profit Performance</t>
  </si>
  <si>
    <t>Category Sales &amp; Profit Performance</t>
  </si>
  <si>
    <t>PT9 — Top 5 Products by Profit</t>
  </si>
  <si>
    <t>Top 5 Products by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</si>
</sst>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quot;₹&quot;\ #,##0.00"/>
  </numFmts>
  <fonts count="13" x14ac:knownFonts="1">
    <font>
      <sz val="11"/>
      <color theme="1"/>
      <name val="Calibri"/>
      <family val="2"/>
      <scheme val="minor"/>
    </font>
    <font>
      <b/>
      <sz val="11"/>
      <color theme="1"/>
      <name val="Calibri"/>
      <family val="2"/>
      <scheme val="minor"/>
    </font>
    <font>
      <sz val="11"/>
      <color theme="1"/>
      <name val="Calibri"/>
      <family val="2"/>
      <scheme val="minor"/>
    </font>
    <font>
      <b/>
      <sz val="11"/>
      <color rgb="FF000000"/>
      <name val="Calibri"/>
      <family val="2"/>
      <scheme val="minor"/>
    </font>
    <font>
      <sz val="11"/>
      <color rgb="FF000000"/>
      <name val="Calibri"/>
      <family val="2"/>
      <scheme val="minor"/>
    </font>
    <font>
      <b/>
      <sz val="20"/>
      <color theme="1"/>
      <name val="Calibri"/>
      <family val="2"/>
      <scheme val="minor"/>
    </font>
    <font>
      <b/>
      <sz val="15"/>
      <color theme="1"/>
      <name val="Calibri"/>
      <family val="2"/>
      <scheme val="minor"/>
    </font>
    <font>
      <sz val="15"/>
      <color theme="1"/>
      <name val="Calibri"/>
      <family val="2"/>
      <scheme val="minor"/>
    </font>
    <font>
      <b/>
      <sz val="25"/>
      <color theme="1"/>
      <name val="Calibri"/>
      <family val="2"/>
      <scheme val="minor"/>
    </font>
    <font>
      <b/>
      <sz val="15"/>
      <color rgb="FF000000"/>
      <name val="Calibri"/>
      <family val="2"/>
      <scheme val="minor"/>
    </font>
    <font>
      <sz val="12"/>
      <color rgb="FF000000"/>
      <name val="Calibri"/>
      <family val="2"/>
      <scheme val="minor"/>
    </font>
    <font>
      <sz val="13"/>
      <color rgb="FF000000"/>
      <name val="Calibri"/>
      <family val="2"/>
      <scheme val="minor"/>
    </font>
    <font>
      <b/>
      <sz val="30"/>
      <color theme="1"/>
      <name val="Calibri"/>
      <family val="2"/>
      <scheme val="minor"/>
    </font>
  </fonts>
  <fills count="5">
    <fill>
      <patternFill patternType="none"/>
    </fill>
    <fill>
      <patternFill patternType="gray125"/>
    </fill>
    <fill>
      <patternFill patternType="solid">
        <fgColor theme="8" tint="0.39997558519241921"/>
        <bgColor indexed="64"/>
      </patternFill>
    </fill>
    <fill>
      <patternFill patternType="solid">
        <fgColor theme="8" tint="0.59999389629810485"/>
        <bgColor indexed="64"/>
      </patternFill>
    </fill>
    <fill>
      <patternFill patternType="solid">
        <fgColor rgb="FFFFFF00"/>
        <bgColor indexed="64"/>
      </patternFill>
    </fill>
  </fills>
  <borders count="16">
    <border>
      <left/>
      <right/>
      <top/>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s>
  <cellStyleXfs count="2">
    <xf numFmtId="0" fontId="0" fillId="0" borderId="0"/>
    <xf numFmtId="9" fontId="2" fillId="0" borderId="0" applyFont="0" applyFill="0" applyBorder="0" applyAlignment="0" applyProtection="0"/>
  </cellStyleXfs>
  <cellXfs count="57">
    <xf numFmtId="0" fontId="0" fillId="0" borderId="0" xfId="0"/>
    <xf numFmtId="0" fontId="3" fillId="0" borderId="2" xfId="0" applyFont="1" applyBorder="1" applyAlignment="1">
      <alignment horizontal="center" vertical="top"/>
    </xf>
    <xf numFmtId="0" fontId="4" fillId="0" borderId="0" xfId="0" applyFont="1"/>
    <xf numFmtId="164" fontId="4" fillId="0" borderId="0" xfId="0" applyNumberFormat="1" applyFont="1"/>
    <xf numFmtId="49" fontId="0" fillId="0" borderId="0" xfId="0" applyNumberFormat="1"/>
    <xf numFmtId="0" fontId="1" fillId="0" borderId="1" xfId="0" applyFont="1" applyBorder="1"/>
    <xf numFmtId="0" fontId="1" fillId="0" borderId="0" xfId="0" applyFont="1" applyAlignment="1">
      <alignment horizontal="center" vertical="center"/>
    </xf>
    <xf numFmtId="0" fontId="6" fillId="0" borderId="0" xfId="0" applyFont="1" applyAlignment="1">
      <alignment horizontal="center" vertical="center" wrapText="1"/>
    </xf>
    <xf numFmtId="0" fontId="7" fillId="0" borderId="0" xfId="0" applyFont="1" applyAlignment="1">
      <alignment vertical="center" wrapText="1"/>
    </xf>
    <xf numFmtId="0" fontId="7" fillId="0" borderId="0" xfId="0" applyFont="1" applyAlignment="1">
      <alignment vertical="center"/>
    </xf>
    <xf numFmtId="49" fontId="3" fillId="0" borderId="2" xfId="0" applyNumberFormat="1" applyFont="1" applyBorder="1" applyAlignment="1">
      <alignment horizontal="center" vertical="top"/>
    </xf>
    <xf numFmtId="49" fontId="4" fillId="0" borderId="0" xfId="0" applyNumberFormat="1" applyFont="1"/>
    <xf numFmtId="2" fontId="3" fillId="0" borderId="2" xfId="0" applyNumberFormat="1" applyFont="1" applyBorder="1" applyAlignment="1">
      <alignment horizontal="center" vertical="top"/>
    </xf>
    <xf numFmtId="2" fontId="4" fillId="0" borderId="0" xfId="0" applyNumberFormat="1" applyFont="1"/>
    <xf numFmtId="2" fontId="0" fillId="0" borderId="0" xfId="0" applyNumberFormat="1"/>
    <xf numFmtId="0" fontId="0" fillId="0" borderId="0" xfId="0" applyAlignment="1">
      <alignment horizontal="center"/>
    </xf>
    <xf numFmtId="0" fontId="6" fillId="0" borderId="4" xfId="0" applyFont="1" applyBorder="1" applyAlignment="1">
      <alignment horizontal="center"/>
    </xf>
    <xf numFmtId="165" fontId="6" fillId="0" borderId="4" xfId="0" applyNumberFormat="1" applyFont="1" applyBorder="1" applyAlignment="1">
      <alignment horizontal="center"/>
    </xf>
    <xf numFmtId="10" fontId="6" fillId="0" borderId="4" xfId="1" applyNumberFormat="1" applyFont="1" applyBorder="1" applyAlignment="1">
      <alignment horizontal="center"/>
    </xf>
    <xf numFmtId="0" fontId="0" fillId="0" borderId="0" xfId="0" pivotButton="1"/>
    <xf numFmtId="0" fontId="0" fillId="0" borderId="0" xfId="0" applyAlignment="1">
      <alignment horizontal="left"/>
    </xf>
    <xf numFmtId="0" fontId="1" fillId="0" borderId="0" xfId="0" applyFont="1" applyAlignment="1">
      <alignment horizontal="center"/>
    </xf>
    <xf numFmtId="0" fontId="1" fillId="0" borderId="5" xfId="0" applyFont="1" applyBorder="1"/>
    <xf numFmtId="10" fontId="0" fillId="0" borderId="0" xfId="0" applyNumberFormat="1"/>
    <xf numFmtId="10" fontId="0" fillId="0" borderId="5" xfId="0" applyNumberFormat="1" applyBorder="1"/>
    <xf numFmtId="0" fontId="4" fillId="0" borderId="0" xfId="0" applyFont="1" applyAlignment="1">
      <alignment vertical="top" wrapText="1"/>
    </xf>
    <xf numFmtId="0" fontId="5" fillId="0" borderId="3" xfId="0" applyFont="1" applyBorder="1" applyAlignment="1">
      <alignment horizontal="center"/>
    </xf>
    <xf numFmtId="0" fontId="5" fillId="0" borderId="3" xfId="0" applyFont="1" applyBorder="1" applyAlignment="1">
      <alignment horizontal="center" vertical="center" wrapText="1"/>
    </xf>
    <xf numFmtId="0" fontId="8" fillId="0" borderId="0" xfId="0" applyFont="1" applyAlignment="1">
      <alignment horizontal="center"/>
    </xf>
    <xf numFmtId="0" fontId="9" fillId="0" borderId="1" xfId="0" applyFont="1" applyBorder="1" applyAlignment="1">
      <alignment horizontal="center" wrapText="1"/>
    </xf>
    <xf numFmtId="0" fontId="10" fillId="0" borderId="0" xfId="0" applyFont="1" applyAlignment="1">
      <alignment vertical="top" wrapText="1"/>
    </xf>
    <xf numFmtId="0" fontId="3" fillId="0" borderId="1" xfId="0" applyFont="1" applyBorder="1" applyAlignment="1">
      <alignment horizontal="center" wrapText="1"/>
    </xf>
    <xf numFmtId="0" fontId="3" fillId="0" borderId="0" xfId="0" applyFont="1" applyAlignment="1">
      <alignment vertical="center"/>
    </xf>
    <xf numFmtId="0" fontId="5" fillId="0" borderId="0" xfId="0" applyFont="1" applyAlignment="1">
      <alignment horizontal="center" vertical="center"/>
    </xf>
    <xf numFmtId="0" fontId="1" fillId="0" borderId="0" xfId="0" applyFont="1" applyAlignment="1">
      <alignment horizontal="left"/>
    </xf>
    <xf numFmtId="0" fontId="5" fillId="0" borderId="0" xfId="0" applyFont="1" applyAlignment="1">
      <alignment horizontal="center" vertical="center" wrapText="1"/>
    </xf>
    <xf numFmtId="0" fontId="5" fillId="0" borderId="0" xfId="0" applyFont="1" applyAlignment="1">
      <alignment horizontal="center"/>
    </xf>
    <xf numFmtId="0" fontId="5" fillId="2" borderId="6" xfId="0" applyFont="1" applyFill="1" applyBorder="1" applyAlignment="1">
      <alignment horizontal="center" vertical="center"/>
    </xf>
    <xf numFmtId="0" fontId="5" fillId="2" borderId="6" xfId="0" applyFont="1" applyFill="1" applyBorder="1" applyAlignment="1">
      <alignment horizontal="center"/>
    </xf>
    <xf numFmtId="0" fontId="5" fillId="2" borderId="6" xfId="0" applyFont="1" applyFill="1" applyBorder="1" applyAlignment="1">
      <alignment horizontal="center" vertical="center" wrapText="1"/>
    </xf>
    <xf numFmtId="0" fontId="1" fillId="0" borderId="0" xfId="0" applyFont="1" applyAlignment="1">
      <alignment vertical="center"/>
    </xf>
    <xf numFmtId="0" fontId="6" fillId="3" borderId="7" xfId="0" applyFont="1" applyFill="1" applyBorder="1" applyAlignment="1">
      <alignment horizontal="center"/>
    </xf>
    <xf numFmtId="165" fontId="6" fillId="3" borderId="7" xfId="0" applyNumberFormat="1" applyFont="1" applyFill="1" applyBorder="1" applyAlignment="1">
      <alignment horizontal="center"/>
    </xf>
    <xf numFmtId="10" fontId="6" fillId="3" borderId="7" xfId="0" applyNumberFormat="1" applyFont="1" applyFill="1" applyBorder="1" applyAlignment="1">
      <alignment horizontal="center"/>
    </xf>
    <xf numFmtId="0" fontId="6" fillId="0" borderId="12" xfId="0" applyFont="1" applyBorder="1" applyAlignment="1">
      <alignment horizontal="center" vertical="center"/>
    </xf>
    <xf numFmtId="0" fontId="6" fillId="0" borderId="13" xfId="0" applyFont="1" applyBorder="1" applyAlignment="1">
      <alignment horizontal="center" vertical="center"/>
    </xf>
    <xf numFmtId="0" fontId="6" fillId="0" borderId="12" xfId="0" applyFont="1" applyBorder="1" applyAlignment="1">
      <alignment horizontal="center"/>
    </xf>
    <xf numFmtId="0" fontId="6" fillId="0" borderId="13" xfId="0" applyFont="1" applyBorder="1" applyAlignment="1">
      <alignment horizontal="center"/>
    </xf>
    <xf numFmtId="0" fontId="9" fillId="0" borderId="0" xfId="0" applyFont="1" applyAlignment="1">
      <alignment horizontal="center"/>
    </xf>
    <xf numFmtId="0" fontId="11" fillId="0" borderId="0" xfId="0" applyFont="1" applyAlignment="1">
      <alignment horizontal="center" vertical="center" wrapText="1"/>
    </xf>
    <xf numFmtId="0" fontId="4" fillId="0" borderId="0" xfId="0" applyFont="1" applyAlignment="1">
      <alignment horizontal="center" vertical="center" wrapText="1"/>
    </xf>
    <xf numFmtId="0" fontId="12" fillId="4" borderId="8" xfId="0" applyFont="1" applyFill="1" applyBorder="1" applyAlignment="1">
      <alignment horizontal="center" vertical="center"/>
    </xf>
    <xf numFmtId="0" fontId="12" fillId="4" borderId="14" xfId="0" applyFont="1" applyFill="1" applyBorder="1" applyAlignment="1">
      <alignment horizontal="center" vertical="center"/>
    </xf>
    <xf numFmtId="0" fontId="12" fillId="4" borderId="9" xfId="0" applyFont="1" applyFill="1" applyBorder="1" applyAlignment="1">
      <alignment horizontal="center" vertical="center"/>
    </xf>
    <xf numFmtId="0" fontId="12" fillId="4" borderId="10" xfId="0" applyFont="1" applyFill="1" applyBorder="1" applyAlignment="1">
      <alignment horizontal="center" vertical="center"/>
    </xf>
    <xf numFmtId="0" fontId="12" fillId="4" borderId="15" xfId="0" applyFont="1" applyFill="1" applyBorder="1" applyAlignment="1">
      <alignment horizontal="center" vertical="center"/>
    </xf>
    <xf numFmtId="0" fontId="12" fillId="4" borderId="11" xfId="0" applyFont="1" applyFill="1" applyBorder="1" applyAlignment="1">
      <alignment horizontal="center" vertical="center"/>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^0 Profitability Analysis Dashboard — Excel.xlsx]Pivot Analysis!PivotTable2</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Analysis'!$B$9</c:f>
              <c:strCache>
                <c:ptCount val="1"/>
                <c:pt idx="0">
                  <c:v>Sum of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Analysis'!$A$10:$A$22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Analysis'!$B$10:$B$22</c:f>
              <c:numCache>
                <c:formatCode>General</c:formatCode>
                <c:ptCount val="12"/>
                <c:pt idx="0">
                  <c:v>604825</c:v>
                </c:pt>
                <c:pt idx="1">
                  <c:v>249600</c:v>
                </c:pt>
                <c:pt idx="2">
                  <c:v>391675</c:v>
                </c:pt>
                <c:pt idx="3">
                  <c:v>572550</c:v>
                </c:pt>
                <c:pt idx="4">
                  <c:v>637800</c:v>
                </c:pt>
                <c:pt idx="5">
                  <c:v>293500</c:v>
                </c:pt>
                <c:pt idx="6">
                  <c:v>580025</c:v>
                </c:pt>
                <c:pt idx="7">
                  <c:v>337950</c:v>
                </c:pt>
                <c:pt idx="8">
                  <c:v>192525</c:v>
                </c:pt>
                <c:pt idx="9">
                  <c:v>303950</c:v>
                </c:pt>
                <c:pt idx="10">
                  <c:v>201375</c:v>
                </c:pt>
                <c:pt idx="11">
                  <c:v>460650</c:v>
                </c:pt>
              </c:numCache>
            </c:numRef>
          </c:val>
          <c:smooth val="0"/>
          <c:extLst>
            <c:ext xmlns:c16="http://schemas.microsoft.com/office/drawing/2014/chart" uri="{C3380CC4-5D6E-409C-BE32-E72D297353CC}">
              <c16:uniqueId val="{00000000-1C5B-475F-9AE7-637CB8D61AD0}"/>
            </c:ext>
          </c:extLst>
        </c:ser>
        <c:ser>
          <c:idx val="1"/>
          <c:order val="1"/>
          <c:tx>
            <c:strRef>
              <c:f>'Pivot Analysis'!$C$9</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Analysis'!$A$10:$A$22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Analysis'!$C$10:$C$22</c:f>
              <c:numCache>
                <c:formatCode>General</c:formatCode>
                <c:ptCount val="12"/>
                <c:pt idx="0">
                  <c:v>70911</c:v>
                </c:pt>
                <c:pt idx="1">
                  <c:v>33714</c:v>
                </c:pt>
                <c:pt idx="2">
                  <c:v>47844</c:v>
                </c:pt>
                <c:pt idx="3">
                  <c:v>79273</c:v>
                </c:pt>
                <c:pt idx="4">
                  <c:v>82340.75</c:v>
                </c:pt>
                <c:pt idx="5">
                  <c:v>37257</c:v>
                </c:pt>
                <c:pt idx="6">
                  <c:v>59300.5</c:v>
                </c:pt>
                <c:pt idx="7">
                  <c:v>42196</c:v>
                </c:pt>
                <c:pt idx="8">
                  <c:v>17272.5</c:v>
                </c:pt>
                <c:pt idx="9">
                  <c:v>38863.5</c:v>
                </c:pt>
                <c:pt idx="10">
                  <c:v>25383</c:v>
                </c:pt>
                <c:pt idx="11">
                  <c:v>37632</c:v>
                </c:pt>
              </c:numCache>
            </c:numRef>
          </c:val>
          <c:smooth val="0"/>
          <c:extLst>
            <c:ext xmlns:c16="http://schemas.microsoft.com/office/drawing/2014/chart" uri="{C3380CC4-5D6E-409C-BE32-E72D297353CC}">
              <c16:uniqueId val="{00000001-1C5B-475F-9AE7-637CB8D61AD0}"/>
            </c:ext>
          </c:extLst>
        </c:ser>
        <c:dLbls>
          <c:showLegendKey val="0"/>
          <c:showVal val="0"/>
          <c:showCatName val="0"/>
          <c:showSerName val="0"/>
          <c:showPercent val="0"/>
          <c:showBubbleSize val="0"/>
        </c:dLbls>
        <c:marker val="1"/>
        <c:smooth val="0"/>
        <c:axId val="1488966176"/>
        <c:axId val="1323997200"/>
      </c:lineChart>
      <c:catAx>
        <c:axId val="1488966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997200"/>
        <c:crosses val="autoZero"/>
        <c:auto val="1"/>
        <c:lblAlgn val="ctr"/>
        <c:lblOffset val="100"/>
        <c:noMultiLvlLbl val="0"/>
      </c:catAx>
      <c:valAx>
        <c:axId val="1323997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966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^0 Profitability Analysis Dashboard — Excel.xlsx]Pivot Analysis!PT1 — Regional Performance</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Analysis'!$B$1</c:f>
              <c:strCache>
                <c:ptCount val="1"/>
                <c:pt idx="0">
                  <c:v>Sum of Sales</c:v>
                </c:pt>
              </c:strCache>
            </c:strRef>
          </c:tx>
          <c:spPr>
            <a:solidFill>
              <a:schemeClr val="accent1"/>
            </a:solidFill>
            <a:ln>
              <a:noFill/>
            </a:ln>
            <a:effectLst/>
          </c:spPr>
          <c:invertIfNegative val="0"/>
          <c:cat>
            <c:strRef>
              <c:f>'Pivot Analysis'!$A$2:$A$6</c:f>
              <c:strCache>
                <c:ptCount val="4"/>
                <c:pt idx="0">
                  <c:v>East</c:v>
                </c:pt>
                <c:pt idx="1">
                  <c:v>North</c:v>
                </c:pt>
                <c:pt idx="2">
                  <c:v>South</c:v>
                </c:pt>
                <c:pt idx="3">
                  <c:v>West</c:v>
                </c:pt>
              </c:strCache>
            </c:strRef>
          </c:cat>
          <c:val>
            <c:numRef>
              <c:f>'Pivot Analysis'!$B$2:$B$6</c:f>
              <c:numCache>
                <c:formatCode>General</c:formatCode>
                <c:ptCount val="4"/>
                <c:pt idx="0">
                  <c:v>1416375</c:v>
                </c:pt>
                <c:pt idx="1">
                  <c:v>1451175</c:v>
                </c:pt>
                <c:pt idx="2">
                  <c:v>597175</c:v>
                </c:pt>
                <c:pt idx="3">
                  <c:v>1361700</c:v>
                </c:pt>
              </c:numCache>
            </c:numRef>
          </c:val>
          <c:extLst>
            <c:ext xmlns:c16="http://schemas.microsoft.com/office/drawing/2014/chart" uri="{C3380CC4-5D6E-409C-BE32-E72D297353CC}">
              <c16:uniqueId val="{00000000-5C0E-401A-8C03-B387ADDD4DA5}"/>
            </c:ext>
          </c:extLst>
        </c:ser>
        <c:ser>
          <c:idx val="1"/>
          <c:order val="1"/>
          <c:tx>
            <c:strRef>
              <c:f>'Pivot Analysis'!$C$1</c:f>
              <c:strCache>
                <c:ptCount val="1"/>
                <c:pt idx="0">
                  <c:v>Sum of Profit</c:v>
                </c:pt>
              </c:strCache>
            </c:strRef>
          </c:tx>
          <c:spPr>
            <a:solidFill>
              <a:schemeClr val="accent2"/>
            </a:solidFill>
            <a:ln>
              <a:noFill/>
            </a:ln>
            <a:effectLst/>
          </c:spPr>
          <c:invertIfNegative val="0"/>
          <c:cat>
            <c:strRef>
              <c:f>'Pivot Analysis'!$A$2:$A$6</c:f>
              <c:strCache>
                <c:ptCount val="4"/>
                <c:pt idx="0">
                  <c:v>East</c:v>
                </c:pt>
                <c:pt idx="1">
                  <c:v>North</c:v>
                </c:pt>
                <c:pt idx="2">
                  <c:v>South</c:v>
                </c:pt>
                <c:pt idx="3">
                  <c:v>West</c:v>
                </c:pt>
              </c:strCache>
            </c:strRef>
          </c:cat>
          <c:val>
            <c:numRef>
              <c:f>'Pivot Analysis'!$C$2:$C$6</c:f>
              <c:numCache>
                <c:formatCode>General</c:formatCode>
                <c:ptCount val="4"/>
                <c:pt idx="0">
                  <c:v>163617</c:v>
                </c:pt>
                <c:pt idx="1">
                  <c:v>182631</c:v>
                </c:pt>
                <c:pt idx="2">
                  <c:v>69363.25</c:v>
                </c:pt>
                <c:pt idx="3">
                  <c:v>156376</c:v>
                </c:pt>
              </c:numCache>
            </c:numRef>
          </c:val>
          <c:extLst>
            <c:ext xmlns:c16="http://schemas.microsoft.com/office/drawing/2014/chart" uri="{C3380CC4-5D6E-409C-BE32-E72D297353CC}">
              <c16:uniqueId val="{00000001-5C0E-401A-8C03-B387ADDD4DA5}"/>
            </c:ext>
          </c:extLst>
        </c:ser>
        <c:dLbls>
          <c:showLegendKey val="0"/>
          <c:showVal val="0"/>
          <c:showCatName val="0"/>
          <c:showSerName val="0"/>
          <c:showPercent val="0"/>
          <c:showBubbleSize val="0"/>
        </c:dLbls>
        <c:gapWidth val="219"/>
        <c:overlap val="-27"/>
        <c:axId val="1538681824"/>
        <c:axId val="1309522672"/>
      </c:barChart>
      <c:catAx>
        <c:axId val="1538681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522672"/>
        <c:crosses val="autoZero"/>
        <c:auto val="1"/>
        <c:lblAlgn val="ctr"/>
        <c:lblOffset val="100"/>
        <c:noMultiLvlLbl val="0"/>
      </c:catAx>
      <c:valAx>
        <c:axId val="1309522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681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^0 Profitability Analysis Dashboard — Excel.xlsx]Pivot Analysis!PivotTable3</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Analysis'!$F$1</c:f>
              <c:strCache>
                <c:ptCount val="1"/>
                <c:pt idx="0">
                  <c:v>Sum of Profit</c:v>
                </c:pt>
              </c:strCache>
            </c:strRef>
          </c:tx>
          <c:spPr>
            <a:solidFill>
              <a:schemeClr val="accent1"/>
            </a:solidFill>
            <a:ln>
              <a:noFill/>
            </a:ln>
            <a:effectLst/>
          </c:spPr>
          <c:invertIfNegative val="0"/>
          <c:cat>
            <c:strRef>
              <c:f>'Pivot Analysis'!$E$2:$E$4</c:f>
              <c:strCache>
                <c:ptCount val="2"/>
                <c:pt idx="0">
                  <c:v>Electronics</c:v>
                </c:pt>
                <c:pt idx="1">
                  <c:v>Furniture</c:v>
                </c:pt>
              </c:strCache>
            </c:strRef>
          </c:cat>
          <c:val>
            <c:numRef>
              <c:f>'Pivot Analysis'!$F$2:$F$4</c:f>
              <c:numCache>
                <c:formatCode>General</c:formatCode>
                <c:ptCount val="2"/>
                <c:pt idx="0">
                  <c:v>330934.25</c:v>
                </c:pt>
                <c:pt idx="1">
                  <c:v>241053</c:v>
                </c:pt>
              </c:numCache>
            </c:numRef>
          </c:val>
          <c:extLst>
            <c:ext xmlns:c16="http://schemas.microsoft.com/office/drawing/2014/chart" uri="{C3380CC4-5D6E-409C-BE32-E72D297353CC}">
              <c16:uniqueId val="{00000000-7334-425C-A3FF-6657E8DF363E}"/>
            </c:ext>
          </c:extLst>
        </c:ser>
        <c:ser>
          <c:idx val="1"/>
          <c:order val="1"/>
          <c:tx>
            <c:strRef>
              <c:f>'Pivot Analysis'!$G$1</c:f>
              <c:strCache>
                <c:ptCount val="1"/>
                <c:pt idx="0">
                  <c:v>Sum of Sales</c:v>
                </c:pt>
              </c:strCache>
            </c:strRef>
          </c:tx>
          <c:spPr>
            <a:solidFill>
              <a:schemeClr val="accent2"/>
            </a:solidFill>
            <a:ln>
              <a:noFill/>
            </a:ln>
            <a:effectLst/>
          </c:spPr>
          <c:invertIfNegative val="0"/>
          <c:cat>
            <c:strRef>
              <c:f>'Pivot Analysis'!$E$2:$E$4</c:f>
              <c:strCache>
                <c:ptCount val="2"/>
                <c:pt idx="0">
                  <c:v>Electronics</c:v>
                </c:pt>
                <c:pt idx="1">
                  <c:v>Furniture</c:v>
                </c:pt>
              </c:strCache>
            </c:strRef>
          </c:cat>
          <c:val>
            <c:numRef>
              <c:f>'Pivot Analysis'!$G$2:$G$4</c:f>
              <c:numCache>
                <c:formatCode>General</c:formatCode>
                <c:ptCount val="2"/>
                <c:pt idx="0">
                  <c:v>2807175</c:v>
                </c:pt>
                <c:pt idx="1">
                  <c:v>2019250</c:v>
                </c:pt>
              </c:numCache>
            </c:numRef>
          </c:val>
          <c:extLst>
            <c:ext xmlns:c16="http://schemas.microsoft.com/office/drawing/2014/chart" uri="{C3380CC4-5D6E-409C-BE32-E72D297353CC}">
              <c16:uniqueId val="{00000001-7334-425C-A3FF-6657E8DF363E}"/>
            </c:ext>
          </c:extLst>
        </c:ser>
        <c:dLbls>
          <c:showLegendKey val="0"/>
          <c:showVal val="0"/>
          <c:showCatName val="0"/>
          <c:showSerName val="0"/>
          <c:showPercent val="0"/>
          <c:showBubbleSize val="0"/>
        </c:dLbls>
        <c:gapWidth val="219"/>
        <c:overlap val="-27"/>
        <c:axId val="1614175136"/>
        <c:axId val="1485182768"/>
      </c:barChart>
      <c:catAx>
        <c:axId val="1614175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182768"/>
        <c:crosses val="autoZero"/>
        <c:auto val="1"/>
        <c:lblAlgn val="ctr"/>
        <c:lblOffset val="100"/>
        <c:noMultiLvlLbl val="0"/>
      </c:catAx>
      <c:valAx>
        <c:axId val="1485182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4175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^0 Profitability Analysis Dashboard — Excel.xlsx]Pivot Analysis!PivotTable8</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Analysis'!$G$25</c:f>
              <c:strCache>
                <c:ptCount val="1"/>
                <c:pt idx="0">
                  <c:v>Total</c:v>
                </c:pt>
              </c:strCache>
            </c:strRef>
          </c:tx>
          <c:spPr>
            <a:solidFill>
              <a:schemeClr val="accent1"/>
            </a:solidFill>
            <a:ln>
              <a:noFill/>
            </a:ln>
            <a:effectLst/>
          </c:spPr>
          <c:invertIfNegative val="0"/>
          <c:cat>
            <c:strRef>
              <c:f>'Pivot Analysis'!$F$26:$F$31</c:f>
              <c:strCache>
                <c:ptCount val="5"/>
                <c:pt idx="0">
                  <c:v>Laptop</c:v>
                </c:pt>
                <c:pt idx="1">
                  <c:v>Sofa</c:v>
                </c:pt>
                <c:pt idx="2">
                  <c:v>Phone</c:v>
                </c:pt>
                <c:pt idx="3">
                  <c:v>Monitor</c:v>
                </c:pt>
                <c:pt idx="4">
                  <c:v>Office Table</c:v>
                </c:pt>
              </c:strCache>
            </c:strRef>
          </c:cat>
          <c:val>
            <c:numRef>
              <c:f>'Pivot Analysis'!$G$26:$G$31</c:f>
              <c:numCache>
                <c:formatCode>General</c:formatCode>
                <c:ptCount val="5"/>
                <c:pt idx="0">
                  <c:v>179430</c:v>
                </c:pt>
                <c:pt idx="1">
                  <c:v>138300</c:v>
                </c:pt>
                <c:pt idx="2">
                  <c:v>71100</c:v>
                </c:pt>
                <c:pt idx="3">
                  <c:v>62586</c:v>
                </c:pt>
                <c:pt idx="4">
                  <c:v>59130</c:v>
                </c:pt>
              </c:numCache>
            </c:numRef>
          </c:val>
          <c:extLst>
            <c:ext xmlns:c16="http://schemas.microsoft.com/office/drawing/2014/chart" uri="{C3380CC4-5D6E-409C-BE32-E72D297353CC}">
              <c16:uniqueId val="{00000000-208B-491E-9CDB-9D0277FC531B}"/>
            </c:ext>
          </c:extLst>
        </c:ser>
        <c:dLbls>
          <c:showLegendKey val="0"/>
          <c:showVal val="0"/>
          <c:showCatName val="0"/>
          <c:showSerName val="0"/>
          <c:showPercent val="0"/>
          <c:showBubbleSize val="0"/>
        </c:dLbls>
        <c:gapWidth val="219"/>
        <c:overlap val="-27"/>
        <c:axId val="1614194624"/>
        <c:axId val="1323960240"/>
      </c:barChart>
      <c:catAx>
        <c:axId val="1614194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960240"/>
        <c:crosses val="autoZero"/>
        <c:auto val="1"/>
        <c:lblAlgn val="ctr"/>
        <c:lblOffset val="100"/>
        <c:noMultiLvlLbl val="0"/>
      </c:catAx>
      <c:valAx>
        <c:axId val="1323960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4194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^0 Profitability Analysis Dashboard — Excel.xlsx]Pivot Analysis!PivotTable2</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Analysis'!$B$9</c:f>
              <c:strCache>
                <c:ptCount val="1"/>
                <c:pt idx="0">
                  <c:v>Sum of Sales</c:v>
                </c:pt>
              </c:strCache>
            </c:strRef>
          </c:tx>
          <c:spPr>
            <a:ln w="28575" cap="rnd">
              <a:solidFill>
                <a:schemeClr val="accent1"/>
              </a:solidFill>
              <a:round/>
            </a:ln>
            <a:effectLst/>
          </c:spPr>
          <c:marker>
            <c:symbol val="none"/>
          </c:marker>
          <c:cat>
            <c:strRef>
              <c:f>'Pivot Analysis'!$A$10:$A$22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Analysis'!$B$10:$B$22</c:f>
              <c:numCache>
                <c:formatCode>General</c:formatCode>
                <c:ptCount val="12"/>
                <c:pt idx="0">
                  <c:v>604825</c:v>
                </c:pt>
                <c:pt idx="1">
                  <c:v>249600</c:v>
                </c:pt>
                <c:pt idx="2">
                  <c:v>391675</c:v>
                </c:pt>
                <c:pt idx="3">
                  <c:v>572550</c:v>
                </c:pt>
                <c:pt idx="4">
                  <c:v>637800</c:v>
                </c:pt>
                <c:pt idx="5">
                  <c:v>293500</c:v>
                </c:pt>
                <c:pt idx="6">
                  <c:v>580025</c:v>
                </c:pt>
                <c:pt idx="7">
                  <c:v>337950</c:v>
                </c:pt>
                <c:pt idx="8">
                  <c:v>192525</c:v>
                </c:pt>
                <c:pt idx="9">
                  <c:v>303950</c:v>
                </c:pt>
                <c:pt idx="10">
                  <c:v>201375</c:v>
                </c:pt>
                <c:pt idx="11">
                  <c:v>460650</c:v>
                </c:pt>
              </c:numCache>
            </c:numRef>
          </c:val>
          <c:smooth val="0"/>
          <c:extLst>
            <c:ext xmlns:c16="http://schemas.microsoft.com/office/drawing/2014/chart" uri="{C3380CC4-5D6E-409C-BE32-E72D297353CC}">
              <c16:uniqueId val="{00000000-2072-4DB6-8546-66E94708E4F0}"/>
            </c:ext>
          </c:extLst>
        </c:ser>
        <c:ser>
          <c:idx val="1"/>
          <c:order val="1"/>
          <c:tx>
            <c:strRef>
              <c:f>'Pivot Analysis'!$C$9</c:f>
              <c:strCache>
                <c:ptCount val="1"/>
                <c:pt idx="0">
                  <c:v>Sum of Profit</c:v>
                </c:pt>
              </c:strCache>
            </c:strRef>
          </c:tx>
          <c:spPr>
            <a:ln w="28575" cap="rnd">
              <a:solidFill>
                <a:schemeClr val="accent2"/>
              </a:solidFill>
              <a:round/>
            </a:ln>
            <a:effectLst/>
          </c:spPr>
          <c:marker>
            <c:symbol val="none"/>
          </c:marker>
          <c:cat>
            <c:strRef>
              <c:f>'Pivot Analysis'!$A$10:$A$22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Analysis'!$C$10:$C$22</c:f>
              <c:numCache>
                <c:formatCode>General</c:formatCode>
                <c:ptCount val="12"/>
                <c:pt idx="0">
                  <c:v>70911</c:v>
                </c:pt>
                <c:pt idx="1">
                  <c:v>33714</c:v>
                </c:pt>
                <c:pt idx="2">
                  <c:v>47844</c:v>
                </c:pt>
                <c:pt idx="3">
                  <c:v>79273</c:v>
                </c:pt>
                <c:pt idx="4">
                  <c:v>82340.75</c:v>
                </c:pt>
                <c:pt idx="5">
                  <c:v>37257</c:v>
                </c:pt>
                <c:pt idx="6">
                  <c:v>59300.5</c:v>
                </c:pt>
                <c:pt idx="7">
                  <c:v>42196</c:v>
                </c:pt>
                <c:pt idx="8">
                  <c:v>17272.5</c:v>
                </c:pt>
                <c:pt idx="9">
                  <c:v>38863.5</c:v>
                </c:pt>
                <c:pt idx="10">
                  <c:v>25383</c:v>
                </c:pt>
                <c:pt idx="11">
                  <c:v>37632</c:v>
                </c:pt>
              </c:numCache>
            </c:numRef>
          </c:val>
          <c:smooth val="0"/>
          <c:extLst>
            <c:ext xmlns:c16="http://schemas.microsoft.com/office/drawing/2014/chart" uri="{C3380CC4-5D6E-409C-BE32-E72D297353CC}">
              <c16:uniqueId val="{00000001-2072-4DB6-8546-66E94708E4F0}"/>
            </c:ext>
          </c:extLst>
        </c:ser>
        <c:dLbls>
          <c:showLegendKey val="0"/>
          <c:showVal val="0"/>
          <c:showCatName val="0"/>
          <c:showSerName val="0"/>
          <c:showPercent val="0"/>
          <c:showBubbleSize val="0"/>
        </c:dLbls>
        <c:smooth val="0"/>
        <c:axId val="20393680"/>
        <c:axId val="2126926736"/>
      </c:lineChart>
      <c:catAx>
        <c:axId val="20393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926736"/>
        <c:crosses val="autoZero"/>
        <c:auto val="1"/>
        <c:lblAlgn val="ctr"/>
        <c:lblOffset val="100"/>
        <c:noMultiLvlLbl val="0"/>
      </c:catAx>
      <c:valAx>
        <c:axId val="2126926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3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1006906</xdr:colOff>
      <xdr:row>6</xdr:row>
      <xdr:rowOff>7621</xdr:rowOff>
    </xdr:from>
    <xdr:to>
      <xdr:col>5</xdr:col>
      <xdr:colOff>992258</xdr:colOff>
      <xdr:row>22</xdr:row>
      <xdr:rowOff>85859</xdr:rowOff>
    </xdr:to>
    <xdr:graphicFrame macro="">
      <xdr:nvGraphicFramePr>
        <xdr:cNvPr id="2" name="Monthly Sales and Profit Trend ">
          <a:extLst>
            <a:ext uri="{FF2B5EF4-FFF2-40B4-BE49-F238E27FC236}">
              <a16:creationId xmlns:a16="http://schemas.microsoft.com/office/drawing/2014/main" id="{517EF9B2-E05C-C801-32DB-34B26A8ABD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994533</xdr:colOff>
      <xdr:row>6</xdr:row>
      <xdr:rowOff>6713</xdr:rowOff>
    </xdr:from>
    <xdr:to>
      <xdr:col>9</xdr:col>
      <xdr:colOff>1512454</xdr:colOff>
      <xdr:row>22</xdr:row>
      <xdr:rowOff>21465</xdr:rowOff>
    </xdr:to>
    <xdr:graphicFrame macro="">
      <xdr:nvGraphicFramePr>
        <xdr:cNvPr id="3" name="Regional Sales &amp; Profit Performance">
          <a:extLst>
            <a:ext uri="{FF2B5EF4-FFF2-40B4-BE49-F238E27FC236}">
              <a16:creationId xmlns:a16="http://schemas.microsoft.com/office/drawing/2014/main" id="{A0B1E224-28C0-5A1B-4E2D-18EEC8BF36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936537</xdr:colOff>
      <xdr:row>28</xdr:row>
      <xdr:rowOff>6712</xdr:rowOff>
    </xdr:from>
    <xdr:to>
      <xdr:col>5</xdr:col>
      <xdr:colOff>966730</xdr:colOff>
      <xdr:row>45</xdr:row>
      <xdr:rowOff>160985</xdr:rowOff>
    </xdr:to>
    <xdr:graphicFrame macro="">
      <xdr:nvGraphicFramePr>
        <xdr:cNvPr id="4" name="Category Sales &amp; Profit Performance">
          <a:extLst>
            <a:ext uri="{FF2B5EF4-FFF2-40B4-BE49-F238E27FC236}">
              <a16:creationId xmlns:a16="http://schemas.microsoft.com/office/drawing/2014/main" id="{7B38B928-3864-CEE1-C1A0-BB49420490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992908</xdr:colOff>
      <xdr:row>28</xdr:row>
      <xdr:rowOff>2720</xdr:rowOff>
    </xdr:from>
    <xdr:to>
      <xdr:col>9</xdr:col>
      <xdr:colOff>1639453</xdr:colOff>
      <xdr:row>45</xdr:row>
      <xdr:rowOff>150254</xdr:rowOff>
    </xdr:to>
    <xdr:graphicFrame macro="">
      <xdr:nvGraphicFramePr>
        <xdr:cNvPr id="6" name="Chart 1">
          <a:extLst>
            <a:ext uri="{FF2B5EF4-FFF2-40B4-BE49-F238E27FC236}">
              <a16:creationId xmlns:a16="http://schemas.microsoft.com/office/drawing/2014/main" id="{8E69891B-F4A8-084C-3279-0DC9107338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0</xdr:colOff>
      <xdr:row>1</xdr:row>
      <xdr:rowOff>161638</xdr:rowOff>
    </xdr:from>
    <xdr:to>
      <xdr:col>15</xdr:col>
      <xdr:colOff>1732</xdr:colOff>
      <xdr:row>7</xdr:row>
      <xdr:rowOff>150091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4D0C829A-6CBE-41C2-A8CF-C5C57AEED42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8553545" y="346365"/>
              <a:ext cx="2440710" cy="1650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213360</xdr:colOff>
      <xdr:row>7</xdr:row>
      <xdr:rowOff>7620</xdr:rowOff>
    </xdr:from>
    <xdr:to>
      <xdr:col>7</xdr:col>
      <xdr:colOff>495300</xdr:colOff>
      <xdr:row>22</xdr:row>
      <xdr:rowOff>0</xdr:rowOff>
    </xdr:to>
    <xdr:graphicFrame macro="">
      <xdr:nvGraphicFramePr>
        <xdr:cNvPr id="3" name="Chart 2">
          <a:extLst>
            <a:ext uri="{FF2B5EF4-FFF2-40B4-BE49-F238E27FC236}">
              <a16:creationId xmlns:a16="http://schemas.microsoft.com/office/drawing/2014/main" id="{D0C6D0D2-A554-8510-7E0C-F543FD2E08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ni Sethi" refreshedDate="46243.073225" createdVersion="8" refreshedVersion="8" minRefreshableVersion="3" recordCount="120" xr:uid="{F0FFB96E-E85E-4554-AB2D-11FD337E9840}">
  <cacheSource type="worksheet">
    <worksheetSource ref="A1:I121" sheet="Cleaned Dataset"/>
  </cacheSource>
  <cacheFields count="10">
    <cacheField name="Order ID" numFmtId="49">
      <sharedItems count="120">
        <s v="ORD1001"/>
        <s v="ORD1002"/>
        <s v="ORD1003"/>
        <s v="ORD1004"/>
        <s v="ORD1005"/>
        <s v="ORD1006"/>
        <s v="ORD1007"/>
        <s v="ORD1008"/>
        <s v="ORD1009"/>
        <s v="ORD1010"/>
        <s v="ORD1011"/>
        <s v="ORD1012"/>
        <s v="ORD1013"/>
        <s v="ORD1014"/>
        <s v="ORD1015"/>
        <s v="ORD1016"/>
        <s v="ORD1017"/>
        <s v="ORD1018"/>
        <s v="ORD1019"/>
        <s v="ORD1020"/>
        <s v="ORD1021"/>
        <s v="ORD1022"/>
        <s v="ORD1023"/>
        <s v="ORD1024"/>
        <s v="ORD1025"/>
        <s v="ORD1026"/>
        <s v="ORD1027"/>
        <s v="ORD1028"/>
        <s v="ORD1029"/>
        <s v="ORD1030"/>
        <s v="ORD1031"/>
        <s v="ORD1032"/>
        <s v="ORD1033"/>
        <s v="ORD1034"/>
        <s v="ORD1035"/>
        <s v="ORD1036"/>
        <s v="ORD1037"/>
        <s v="ORD1038"/>
        <s v="ORD1039"/>
        <s v="ORD1040"/>
        <s v="ORD1041"/>
        <s v="ORD1042"/>
        <s v="ORD1043"/>
        <s v="ORD1044"/>
        <s v="ORD1045"/>
        <s v="ORD1046"/>
        <s v="ORD1047"/>
        <s v="ORD1048"/>
        <s v="ORD1049"/>
        <s v="ORD1050"/>
        <s v="ORD1051"/>
        <s v="ORD1052"/>
        <s v="ORD1053"/>
        <s v="ORD1054"/>
        <s v="ORD1055"/>
        <s v="ORD1056"/>
        <s v="ORD1057"/>
        <s v="ORD1058"/>
        <s v="ORD1059"/>
        <s v="ORD1060"/>
        <s v="ORD1061"/>
        <s v="ORD1062"/>
        <s v="ORD1063"/>
        <s v="ORD1064"/>
        <s v="ORD1065"/>
        <s v="ORD1066"/>
        <s v="ORD1067"/>
        <s v="ORD1068"/>
        <s v="ORD1069"/>
        <s v="ORD1070"/>
        <s v="ORD1071"/>
        <s v="ORD1072"/>
        <s v="ORD1073"/>
        <s v="ORD1074"/>
        <s v="ORD1075"/>
        <s v="ORD1076"/>
        <s v="ORD1077"/>
        <s v="ORD1078"/>
        <s v="ORD1079"/>
        <s v="ORD1080"/>
        <s v="ORD1081"/>
        <s v="ORD1082"/>
        <s v="ORD1083"/>
        <s v="ORD1084"/>
        <s v="ORD1085"/>
        <s v="ORD1086"/>
        <s v="ORD1087"/>
        <s v="ORD1088"/>
        <s v="ORD1089"/>
        <s v="ORD1090"/>
        <s v="ORD1091"/>
        <s v="ORD1092"/>
        <s v="ORD1093"/>
        <s v="ORD1094"/>
        <s v="ORD1095"/>
        <s v="ORD1096"/>
        <s v="ORD1097"/>
        <s v="ORD1098"/>
        <s v="ORD1099"/>
        <s v="ORD1100"/>
        <s v="ORD1101"/>
        <s v="ORD1102"/>
        <s v="ORD1103"/>
        <s v="ORD1104"/>
        <s v="ORD1105"/>
        <s v="ORD1106"/>
        <s v="ORD1107"/>
        <s v="ORD1108"/>
        <s v="ORD1109"/>
        <s v="ORD1110"/>
        <s v="ORD1111"/>
        <s v="ORD1112"/>
        <s v="ORD1113"/>
        <s v="ORD1114"/>
        <s v="ORD1115"/>
        <s v="ORD1116"/>
        <s v="ORD1117"/>
        <s v="ORD1118"/>
        <s v="ORD1119"/>
        <s v="ORD1120"/>
      </sharedItems>
    </cacheField>
    <cacheField name="Order Date" numFmtId="164">
      <sharedItems containsSemiMixedTypes="0" containsNonDate="0" containsDate="1" containsString="0" minDate="2025-01-02T00:00:00" maxDate="2025-12-30T00:00:00" count="102">
        <d v="2025-05-06T00:00:00"/>
        <d v="2025-08-05T00:00:00"/>
        <d v="2025-11-05T00:00:00"/>
        <d v="2025-08-18T00:00:00"/>
        <d v="2025-03-21T00:00:00"/>
        <d v="2025-07-03T00:00:00"/>
        <d v="2025-03-05T00:00:00"/>
        <d v="2025-04-09T00:00:00"/>
        <d v="2025-04-30T00:00:00"/>
        <d v="2025-07-09T00:00:00"/>
        <d v="2025-11-22T00:00:00"/>
        <d v="2025-07-14T00:00:00"/>
        <d v="2025-01-29T00:00:00"/>
        <d v="2025-04-19T00:00:00"/>
        <d v="2025-03-15T00:00:00"/>
        <d v="2025-08-08T00:00:00"/>
        <d v="2025-01-25T00:00:00"/>
        <d v="2025-02-02T00:00:00"/>
        <d v="2025-01-06T00:00:00"/>
        <d v="2025-05-31T00:00:00"/>
        <d v="2025-04-02T00:00:00"/>
        <d v="2025-07-11T00:00:00"/>
        <d v="2025-01-10T00:00:00"/>
        <d v="2025-10-18T00:00:00"/>
        <d v="2025-03-06T00:00:00"/>
        <d v="2025-09-28T00:00:00"/>
        <d v="2025-12-10T00:00:00"/>
        <d v="2025-04-26T00:00:00"/>
        <d v="2025-04-23T00:00:00"/>
        <d v="2025-01-17T00:00:00"/>
        <d v="2025-04-20T00:00:00"/>
        <d v="2025-08-31T00:00:00"/>
        <d v="2025-07-26T00:00:00"/>
        <d v="2025-02-08T00:00:00"/>
        <d v="2025-05-02T00:00:00"/>
        <d v="2025-01-31T00:00:00"/>
        <d v="2025-05-27T00:00:00"/>
        <d v="2025-04-08T00:00:00"/>
        <d v="2025-01-30T00:00:00"/>
        <d v="2025-09-18T00:00:00"/>
        <d v="2025-02-11T00:00:00"/>
        <d v="2025-04-15T00:00:00"/>
        <d v="2025-08-23T00:00:00"/>
        <d v="2025-10-03T00:00:00"/>
        <d v="2025-12-01T00:00:00"/>
        <d v="2025-05-16T00:00:00"/>
        <d v="2025-05-25T00:00:00"/>
        <d v="2025-09-08T00:00:00"/>
        <d v="2025-01-02T00:00:00"/>
        <d v="2025-10-10T00:00:00"/>
        <d v="2025-10-07T00:00:00"/>
        <d v="2025-03-07T00:00:00"/>
        <d v="2025-12-16T00:00:00"/>
        <d v="2025-06-20T00:00:00"/>
        <d v="2025-12-26T00:00:00"/>
        <d v="2025-08-24T00:00:00"/>
        <d v="2025-07-24T00:00:00"/>
        <d v="2025-08-12T00:00:00"/>
        <d v="2025-12-29T00:00:00"/>
        <d v="2025-08-09T00:00:00"/>
        <d v="2025-06-03T00:00:00"/>
        <d v="2025-10-11T00:00:00"/>
        <d v="2025-10-19T00:00:00"/>
        <d v="2025-04-18T00:00:00"/>
        <d v="2025-08-15T00:00:00"/>
        <d v="2025-09-21T00:00:00"/>
        <d v="2025-03-17T00:00:00"/>
        <d v="2025-08-01T00:00:00"/>
        <d v="2025-05-05T00:00:00"/>
        <d v="2025-05-08T00:00:00"/>
        <d v="2025-11-10T00:00:00"/>
        <d v="2025-05-13T00:00:00"/>
        <d v="2025-05-21T00:00:00"/>
        <d v="2025-06-21T00:00:00"/>
        <d v="2025-07-16T00:00:00"/>
        <d v="2025-06-19T00:00:00"/>
        <d v="2025-10-27T00:00:00"/>
        <d v="2025-06-02T00:00:00"/>
        <d v="2025-12-09T00:00:00"/>
        <d v="2025-10-01T00:00:00"/>
        <d v="2025-11-26T00:00:00"/>
        <d v="2025-05-23T00:00:00"/>
        <d v="2025-01-27T00:00:00"/>
        <d v="2025-05-07T00:00:00"/>
        <d v="2025-03-27T00:00:00"/>
        <d v="2025-10-22T00:00:00"/>
        <d v="2025-12-20T00:00:00"/>
        <d v="2025-01-22T00:00:00"/>
        <d v="2025-11-28T00:00:00"/>
        <d v="2025-07-05T00:00:00"/>
        <d v="2025-11-30T00:00:00"/>
        <d v="2025-10-31T00:00:00"/>
        <d v="2025-09-11T00:00:00"/>
        <d v="2025-06-24T00:00:00"/>
        <d v="2025-05-04T00:00:00"/>
        <d v="2025-02-17T00:00:00"/>
        <d v="2025-07-08T00:00:00"/>
        <d v="2025-04-29T00:00:00"/>
        <d v="2025-09-26T00:00:00"/>
        <d v="2025-01-24T00:00:00"/>
        <d v="2025-01-07T00:00:00"/>
        <d v="2025-02-07T00:00:00"/>
      </sharedItems>
      <fieldGroup par="9"/>
    </cacheField>
    <cacheField name="Customer" numFmtId="0">
      <sharedItems count="10">
        <s v="Riya Gupta"/>
        <s v="Vikas Jain"/>
        <s v="Simran Kaur"/>
        <s v="Sneha Kapoor"/>
        <s v="Priya Mehta"/>
        <s v="Amit Verma"/>
        <s v="Karan Arora"/>
        <s v="Arjun Malhotra"/>
        <s v="Neha Singh"/>
        <s v="Rahul Sharma"/>
      </sharedItems>
    </cacheField>
    <cacheField name="Product" numFmtId="0">
      <sharedItems count="10">
        <s v="Monitor"/>
        <s v="Keyboard"/>
        <s v="Desk Lamp"/>
        <s v="Office Table"/>
        <s v="Laptop"/>
        <s v="Mouse"/>
        <s v="Sofa"/>
        <s v="Phone"/>
        <s v="Bookshelf"/>
        <s v="Office Chair"/>
      </sharedItems>
    </cacheField>
    <cacheField name="Category" numFmtId="0">
      <sharedItems count="2">
        <s v="Electronics"/>
        <s v="Furniture"/>
      </sharedItems>
    </cacheField>
    <cacheField name="Region" numFmtId="0">
      <sharedItems count="4">
        <s v="North"/>
        <s v="South"/>
        <s v="East"/>
        <s v="West"/>
      </sharedItems>
    </cacheField>
    <cacheField name="Quantity" numFmtId="0">
      <sharedItems containsSemiMixedTypes="0" containsString="0" containsNumber="1" containsInteger="1" minValue="1" maxValue="4"/>
    </cacheField>
    <cacheField name="Sales" numFmtId="2">
      <sharedItems containsString="0" containsBlank="1" containsNumber="1" containsInteger="1" minValue="1275" maxValue="264000" count="78">
        <n v="32400"/>
        <n v="15300"/>
        <n v="2625"/>
        <n v="7650"/>
        <n v="24000"/>
        <n v="56700"/>
        <n v="204000"/>
        <n v="1275"/>
        <n v="2500"/>
        <n v="67500"/>
        <n v="3150"/>
        <n v="8250"/>
        <n v="5100"/>
        <n v="12000"/>
        <n v="27000"/>
        <n v="120000"/>
        <n v="27500"/>
        <n v="5400"/>
        <n v="66000"/>
        <n v="6300"/>
        <n v="60000"/>
        <n v="2125"/>
        <n v="55000"/>
        <n v="10800"/>
        <n v="7500"/>
        <n v="25000"/>
        <n v="153000"/>
        <n v="5500"/>
        <n v="72000"/>
        <n v="5000"/>
        <n v="50000"/>
        <n v="52800"/>
        <n v="8100"/>
        <n v="9450"/>
        <n v="2700"/>
        <n v="39600"/>
        <n v="24300"/>
        <m/>
        <n v="52500"/>
        <n v="90000"/>
        <n v="6600"/>
        <n v="6375"/>
        <n v="18000"/>
        <n v="3000"/>
        <n v="132000"/>
        <n v="14400"/>
        <n v="75000"/>
        <n v="3825"/>
        <n v="8500"/>
        <n v="3300"/>
        <n v="29700"/>
        <n v="36000"/>
        <n v="252000"/>
        <n v="16800"/>
        <n v="76500"/>
        <n v="26400"/>
        <n v="105000"/>
        <n v="10200"/>
        <n v="4725"/>
        <n v="100000"/>
        <n v="9000"/>
        <n v="264000"/>
        <n v="81000"/>
        <n v="32000"/>
        <n v="30600"/>
        <n v="31500"/>
        <n v="22500"/>
        <n v="4250"/>
        <n v="20400"/>
        <n v="110000"/>
        <n v="37800"/>
        <n v="75600"/>
        <n v="7875"/>
        <n v="1350"/>
        <n v="10500"/>
        <n v="1650"/>
        <n v="63750"/>
        <n v="16200"/>
      </sharedItems>
    </cacheField>
    <cacheField name="Profit" numFmtId="2">
      <sharedItems containsString="0" containsBlank="1" containsNumber="1" minValue="102" maxValue="37800"/>
    </cacheField>
    <cacheField name="Months (Order Date)" numFmtId="0" databaseField="0">
      <fieldGroup base="1">
        <rangePr groupBy="months" startDate="2025-01-02T00:00:00" endDate="2025-12-30T00:00:00"/>
        <groupItems count="14">
          <s v="&lt;02-01-2025"/>
          <s v="Jan"/>
          <s v="Feb"/>
          <s v="Mar"/>
          <s v="Apr"/>
          <s v="May"/>
          <s v="Jun"/>
          <s v="Jul"/>
          <s v="Aug"/>
          <s v="Sep"/>
          <s v="Oct"/>
          <s v="Nov"/>
          <s v="Dec"/>
          <s v="&gt;30-12-2025"/>
        </groupItems>
      </fieldGroup>
    </cacheField>
  </cacheFields>
  <extLst>
    <ext xmlns:x14="http://schemas.microsoft.com/office/spreadsheetml/2009/9/main" uri="{725AE2AE-9491-48be-B2B4-4EB974FC3084}">
      <x14:pivotCacheDefinition pivotCacheId="5597387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x v="0"/>
    <x v="0"/>
    <x v="0"/>
    <x v="0"/>
    <x v="0"/>
    <x v="0"/>
    <n v="2"/>
    <x v="0"/>
    <n v="5832"/>
  </r>
  <r>
    <x v="1"/>
    <x v="1"/>
    <x v="1"/>
    <x v="0"/>
    <x v="0"/>
    <x v="0"/>
    <n v="1"/>
    <x v="1"/>
    <n v="918"/>
  </r>
  <r>
    <x v="2"/>
    <x v="2"/>
    <x v="2"/>
    <x v="1"/>
    <x v="0"/>
    <x v="1"/>
    <n v="1"/>
    <x v="2"/>
    <n v="210"/>
  </r>
  <r>
    <x v="3"/>
    <x v="3"/>
    <x v="3"/>
    <x v="2"/>
    <x v="1"/>
    <x v="2"/>
    <n v="3"/>
    <x v="3"/>
    <n v="612"/>
  </r>
  <r>
    <x v="4"/>
    <x v="4"/>
    <x v="0"/>
    <x v="3"/>
    <x v="1"/>
    <x v="3"/>
    <n v="2"/>
    <x v="4"/>
    <n v="1440"/>
  </r>
  <r>
    <x v="5"/>
    <x v="5"/>
    <x v="4"/>
    <x v="0"/>
    <x v="0"/>
    <x v="2"/>
    <n v="3"/>
    <x v="5"/>
    <n v="5670"/>
  </r>
  <r>
    <x v="6"/>
    <x v="6"/>
    <x v="2"/>
    <x v="4"/>
    <x v="0"/>
    <x v="2"/>
    <n v="4"/>
    <x v="6"/>
    <n v="30600"/>
  </r>
  <r>
    <x v="7"/>
    <x v="7"/>
    <x v="1"/>
    <x v="5"/>
    <x v="0"/>
    <x v="3"/>
    <n v="1"/>
    <x v="7"/>
    <n v="229.5"/>
  </r>
  <r>
    <x v="8"/>
    <x v="8"/>
    <x v="4"/>
    <x v="1"/>
    <x v="0"/>
    <x v="3"/>
    <n v="1"/>
    <x v="8"/>
    <n v="250"/>
  </r>
  <r>
    <x v="9"/>
    <x v="9"/>
    <x v="5"/>
    <x v="6"/>
    <x v="1"/>
    <x v="3"/>
    <n v="3"/>
    <x v="9"/>
    <n v="12150"/>
  </r>
  <r>
    <x v="10"/>
    <x v="10"/>
    <x v="1"/>
    <x v="5"/>
    <x v="0"/>
    <x v="0"/>
    <n v="2"/>
    <x v="10"/>
    <n v="567"/>
  </r>
  <r>
    <x v="11"/>
    <x v="11"/>
    <x v="6"/>
    <x v="1"/>
    <x v="0"/>
    <x v="1"/>
    <n v="3"/>
    <x v="11"/>
    <n v="1485"/>
  </r>
  <r>
    <x v="12"/>
    <x v="12"/>
    <x v="7"/>
    <x v="2"/>
    <x v="1"/>
    <x v="1"/>
    <n v="2"/>
    <x v="12"/>
    <n v="510"/>
  </r>
  <r>
    <x v="13"/>
    <x v="13"/>
    <x v="4"/>
    <x v="3"/>
    <x v="1"/>
    <x v="3"/>
    <n v="3"/>
    <x v="0"/>
    <n v="5832"/>
  </r>
  <r>
    <x v="14"/>
    <x v="14"/>
    <x v="6"/>
    <x v="6"/>
    <x v="1"/>
    <x v="2"/>
    <n v="3"/>
    <x v="9"/>
    <n v="5400"/>
  </r>
  <r>
    <x v="15"/>
    <x v="15"/>
    <x v="1"/>
    <x v="2"/>
    <x v="1"/>
    <x v="3"/>
    <n v="4"/>
    <x v="13"/>
    <n v="960"/>
  </r>
  <r>
    <x v="16"/>
    <x v="16"/>
    <x v="4"/>
    <x v="7"/>
    <x v="0"/>
    <x v="2"/>
    <n v="1"/>
    <x v="14"/>
    <n v="4860"/>
  </r>
  <r>
    <x v="17"/>
    <x v="17"/>
    <x v="1"/>
    <x v="7"/>
    <x v="0"/>
    <x v="2"/>
    <n v="4"/>
    <x v="15"/>
    <n v="18000"/>
  </r>
  <r>
    <x v="18"/>
    <x v="18"/>
    <x v="2"/>
    <x v="6"/>
    <x v="1"/>
    <x v="0"/>
    <n v="1"/>
    <x v="16"/>
    <n v="4125"/>
  </r>
  <r>
    <x v="19"/>
    <x v="19"/>
    <x v="4"/>
    <x v="5"/>
    <x v="0"/>
    <x v="3"/>
    <n v="4"/>
    <x v="17"/>
    <n v="648"/>
  </r>
  <r>
    <x v="20"/>
    <x v="20"/>
    <x v="2"/>
    <x v="4"/>
    <x v="0"/>
    <x v="3"/>
    <n v="1"/>
    <x v="18"/>
    <n v="6600"/>
  </r>
  <r>
    <x v="21"/>
    <x v="21"/>
    <x v="5"/>
    <x v="2"/>
    <x v="1"/>
    <x v="1"/>
    <n v="2"/>
    <x v="19"/>
    <n v="945"/>
  </r>
  <r>
    <x v="22"/>
    <x v="22"/>
    <x v="6"/>
    <x v="4"/>
    <x v="0"/>
    <x v="3"/>
    <n v="1"/>
    <x v="20"/>
    <n v="6000"/>
  </r>
  <r>
    <x v="23"/>
    <x v="23"/>
    <x v="3"/>
    <x v="1"/>
    <x v="0"/>
    <x v="0"/>
    <n v="1"/>
    <x v="21"/>
    <n v="382.5"/>
  </r>
  <r>
    <x v="24"/>
    <x v="24"/>
    <x v="2"/>
    <x v="6"/>
    <x v="1"/>
    <x v="0"/>
    <n v="2"/>
    <x v="22"/>
    <n v="6600"/>
  </r>
  <r>
    <x v="25"/>
    <x v="25"/>
    <x v="0"/>
    <x v="2"/>
    <x v="1"/>
    <x v="1"/>
    <n v="4"/>
    <x v="23"/>
    <n v="1620"/>
  </r>
  <r>
    <x v="26"/>
    <x v="26"/>
    <x v="8"/>
    <x v="1"/>
    <x v="0"/>
    <x v="3"/>
    <n v="3"/>
    <x v="24"/>
    <n v="1125"/>
  </r>
  <r>
    <x v="27"/>
    <x v="27"/>
    <x v="3"/>
    <x v="6"/>
    <x v="1"/>
    <x v="0"/>
    <n v="1"/>
    <x v="25"/>
    <n v="1500"/>
  </r>
  <r>
    <x v="28"/>
    <x v="28"/>
    <x v="1"/>
    <x v="8"/>
    <x v="1"/>
    <x v="1"/>
    <n v="1"/>
    <x v="3"/>
    <n v="1377"/>
  </r>
  <r>
    <x v="29"/>
    <x v="29"/>
    <x v="4"/>
    <x v="4"/>
    <x v="0"/>
    <x v="1"/>
    <n v="3"/>
    <x v="26"/>
    <n v="22950"/>
  </r>
  <r>
    <x v="30"/>
    <x v="30"/>
    <x v="6"/>
    <x v="1"/>
    <x v="0"/>
    <x v="3"/>
    <n v="2"/>
    <x v="27"/>
    <n v="825"/>
  </r>
  <r>
    <x v="31"/>
    <x v="31"/>
    <x v="3"/>
    <x v="8"/>
    <x v="0"/>
    <x v="2"/>
    <n v="4"/>
    <x v="0"/>
    <n v="1944"/>
  </r>
  <r>
    <x v="32"/>
    <x v="1"/>
    <x v="7"/>
    <x v="0"/>
    <x v="0"/>
    <x v="2"/>
    <n v="4"/>
    <x v="28"/>
    <n v="12960"/>
  </r>
  <r>
    <x v="33"/>
    <x v="32"/>
    <x v="9"/>
    <x v="4"/>
    <x v="0"/>
    <x v="0"/>
    <n v="3"/>
    <x v="26"/>
    <n v="12240"/>
  </r>
  <r>
    <x v="34"/>
    <x v="3"/>
    <x v="2"/>
    <x v="1"/>
    <x v="0"/>
    <x v="1"/>
    <n v="2"/>
    <x v="29"/>
    <n v="400"/>
  </r>
  <r>
    <x v="35"/>
    <x v="33"/>
    <x v="3"/>
    <x v="5"/>
    <x v="0"/>
    <x v="2"/>
    <n v="4"/>
    <x v="19"/>
    <n v="378"/>
  </r>
  <r>
    <x v="36"/>
    <x v="34"/>
    <x v="4"/>
    <x v="4"/>
    <x v="0"/>
    <x v="0"/>
    <n v="2"/>
    <x v="15"/>
    <n v="14400"/>
  </r>
  <r>
    <x v="37"/>
    <x v="35"/>
    <x v="8"/>
    <x v="6"/>
    <x v="1"/>
    <x v="1"/>
    <n v="2"/>
    <x v="30"/>
    <n v="3000"/>
  </r>
  <r>
    <x v="38"/>
    <x v="36"/>
    <x v="6"/>
    <x v="3"/>
    <x v="1"/>
    <x v="3"/>
    <n v="4"/>
    <x v="31"/>
    <n v="9504"/>
  </r>
  <r>
    <x v="39"/>
    <x v="37"/>
    <x v="5"/>
    <x v="2"/>
    <x v="1"/>
    <x v="2"/>
    <n v="3"/>
    <x v="32"/>
    <n v="486"/>
  </r>
  <r>
    <x v="40"/>
    <x v="38"/>
    <x v="7"/>
    <x v="8"/>
    <x v="1"/>
    <x v="0"/>
    <n v="1"/>
    <x v="33"/>
    <n v="1134"/>
  </r>
  <r>
    <x v="41"/>
    <x v="39"/>
    <x v="9"/>
    <x v="2"/>
    <x v="1"/>
    <x v="1"/>
    <n v="1"/>
    <x v="34"/>
    <n v="162"/>
  </r>
  <r>
    <x v="42"/>
    <x v="32"/>
    <x v="3"/>
    <x v="8"/>
    <x v="1"/>
    <x v="0"/>
    <n v="1"/>
    <x v="33"/>
    <n v="756"/>
  </r>
  <r>
    <x v="43"/>
    <x v="40"/>
    <x v="1"/>
    <x v="8"/>
    <x v="1"/>
    <x v="0"/>
    <n v="4"/>
    <x v="35"/>
    <n v="5940"/>
  </r>
  <r>
    <x v="44"/>
    <x v="41"/>
    <x v="0"/>
    <x v="8"/>
    <x v="1"/>
    <x v="3"/>
    <n v="3"/>
    <x v="36"/>
    <n v="2430"/>
  </r>
  <r>
    <x v="45"/>
    <x v="42"/>
    <x v="0"/>
    <x v="3"/>
    <x v="1"/>
    <x v="1"/>
    <n v="3"/>
    <x v="37"/>
    <n v="1836"/>
  </r>
  <r>
    <x v="46"/>
    <x v="43"/>
    <x v="4"/>
    <x v="6"/>
    <x v="1"/>
    <x v="0"/>
    <n v="2"/>
    <x v="38"/>
    <n v="5250"/>
  </r>
  <r>
    <x v="47"/>
    <x v="0"/>
    <x v="4"/>
    <x v="7"/>
    <x v="0"/>
    <x v="3"/>
    <n v="3"/>
    <x v="39"/>
    <n v="7200"/>
  </r>
  <r>
    <x v="48"/>
    <x v="44"/>
    <x v="1"/>
    <x v="6"/>
    <x v="1"/>
    <x v="3"/>
    <n v="1"/>
    <x v="16"/>
    <n v="4125"/>
  </r>
  <r>
    <x v="49"/>
    <x v="45"/>
    <x v="5"/>
    <x v="5"/>
    <x v="0"/>
    <x v="0"/>
    <n v="1"/>
    <x v="7"/>
    <n v="229.5"/>
  </r>
  <r>
    <x v="50"/>
    <x v="46"/>
    <x v="0"/>
    <x v="2"/>
    <x v="1"/>
    <x v="1"/>
    <n v="2"/>
    <x v="40"/>
    <n v="660"/>
  </r>
  <r>
    <x v="51"/>
    <x v="47"/>
    <x v="2"/>
    <x v="1"/>
    <x v="0"/>
    <x v="3"/>
    <n v="3"/>
    <x v="41"/>
    <n v="382.5"/>
  </r>
  <r>
    <x v="52"/>
    <x v="48"/>
    <x v="9"/>
    <x v="3"/>
    <x v="1"/>
    <x v="3"/>
    <n v="3"/>
    <x v="0"/>
    <m/>
  </r>
  <r>
    <x v="53"/>
    <x v="49"/>
    <x v="6"/>
    <x v="5"/>
    <x v="0"/>
    <x v="1"/>
    <n v="4"/>
    <x v="19"/>
    <n v="378"/>
  </r>
  <r>
    <x v="54"/>
    <x v="50"/>
    <x v="5"/>
    <x v="0"/>
    <x v="0"/>
    <x v="0"/>
    <n v="1"/>
    <x v="42"/>
    <n v="2700"/>
  </r>
  <r>
    <x v="55"/>
    <x v="51"/>
    <x v="8"/>
    <x v="2"/>
    <x v="1"/>
    <x v="1"/>
    <n v="1"/>
    <x v="43"/>
    <n v="300"/>
  </r>
  <r>
    <x v="56"/>
    <x v="52"/>
    <x v="3"/>
    <x v="4"/>
    <x v="0"/>
    <x v="3"/>
    <n v="2"/>
    <x v="44"/>
    <n v="7920"/>
  </r>
  <r>
    <x v="57"/>
    <x v="4"/>
    <x v="1"/>
    <x v="9"/>
    <x v="1"/>
    <x v="2"/>
    <n v="2"/>
    <x v="45"/>
    <n v="1152"/>
  </r>
  <r>
    <x v="58"/>
    <x v="53"/>
    <x v="5"/>
    <x v="3"/>
    <x v="1"/>
    <x v="0"/>
    <n v="4"/>
    <x v="31"/>
    <n v="9504"/>
  </r>
  <r>
    <x v="59"/>
    <x v="54"/>
    <x v="5"/>
    <x v="1"/>
    <x v="0"/>
    <x v="3"/>
    <n v="1"/>
    <x v="8"/>
    <n v="150"/>
  </r>
  <r>
    <x v="60"/>
    <x v="55"/>
    <x v="3"/>
    <x v="6"/>
    <x v="1"/>
    <x v="1"/>
    <n v="3"/>
    <x v="46"/>
    <n v="6000"/>
  </r>
  <r>
    <x v="61"/>
    <x v="56"/>
    <x v="3"/>
    <x v="1"/>
    <x v="0"/>
    <x v="0"/>
    <n v="3"/>
    <x v="24"/>
    <n v="450"/>
  </r>
  <r>
    <x v="62"/>
    <x v="56"/>
    <x v="2"/>
    <x v="5"/>
    <x v="0"/>
    <x v="3"/>
    <n v="3"/>
    <x v="47"/>
    <n v="229.5"/>
  </r>
  <r>
    <x v="63"/>
    <x v="45"/>
    <x v="1"/>
    <x v="5"/>
    <x v="0"/>
    <x v="1"/>
    <n v="1"/>
    <x v="7"/>
    <n v="191.25"/>
  </r>
  <r>
    <x v="64"/>
    <x v="57"/>
    <x v="7"/>
    <x v="3"/>
    <x v="1"/>
    <x v="3"/>
    <n v="1"/>
    <x v="13"/>
    <n v="1800"/>
  </r>
  <r>
    <x v="65"/>
    <x v="58"/>
    <x v="9"/>
    <x v="1"/>
    <x v="0"/>
    <x v="3"/>
    <n v="4"/>
    <x v="48"/>
    <n v="1275"/>
  </r>
  <r>
    <x v="66"/>
    <x v="59"/>
    <x v="7"/>
    <x v="2"/>
    <x v="1"/>
    <x v="1"/>
    <n v="1"/>
    <x v="49"/>
    <n v="330"/>
  </r>
  <r>
    <x v="67"/>
    <x v="60"/>
    <x v="4"/>
    <x v="8"/>
    <x v="1"/>
    <x v="3"/>
    <n v="3"/>
    <x v="50"/>
    <n v="3564"/>
  </r>
  <r>
    <x v="68"/>
    <x v="61"/>
    <x v="0"/>
    <x v="9"/>
    <x v="1"/>
    <x v="2"/>
    <n v="2"/>
    <x v="45"/>
    <n v="1728"/>
  </r>
  <r>
    <x v="69"/>
    <x v="62"/>
    <x v="1"/>
    <x v="3"/>
    <x v="1"/>
    <x v="1"/>
    <n v="3"/>
    <x v="51"/>
    <n v="5400"/>
  </r>
  <r>
    <x v="70"/>
    <x v="63"/>
    <x v="0"/>
    <x v="4"/>
    <x v="0"/>
    <x v="3"/>
    <n v="4"/>
    <x v="52"/>
    <n v="37800"/>
  </r>
  <r>
    <x v="71"/>
    <x v="64"/>
    <x v="6"/>
    <x v="9"/>
    <x v="1"/>
    <x v="2"/>
    <n v="2"/>
    <x v="53"/>
    <n v="2016"/>
  </r>
  <r>
    <x v="72"/>
    <x v="65"/>
    <x v="0"/>
    <x v="7"/>
    <x v="0"/>
    <x v="0"/>
    <n v="3"/>
    <x v="54"/>
    <n v="6120"/>
  </r>
  <r>
    <x v="73"/>
    <x v="66"/>
    <x v="3"/>
    <x v="5"/>
    <x v="0"/>
    <x v="1"/>
    <n v="1"/>
    <x v="7"/>
    <n v="102"/>
  </r>
  <r>
    <x v="74"/>
    <x v="67"/>
    <x v="6"/>
    <x v="6"/>
    <x v="1"/>
    <x v="0"/>
    <n v="2"/>
    <x v="22"/>
    <n v="9900"/>
  </r>
  <r>
    <x v="75"/>
    <x v="68"/>
    <x v="8"/>
    <x v="3"/>
    <x v="1"/>
    <x v="2"/>
    <n v="2"/>
    <x v="55"/>
    <n v="4752"/>
  </r>
  <r>
    <x v="76"/>
    <x v="28"/>
    <x v="8"/>
    <x v="4"/>
    <x v="0"/>
    <x v="0"/>
    <n v="2"/>
    <x v="44"/>
    <n v="19800"/>
  </r>
  <r>
    <x v="77"/>
    <x v="69"/>
    <x v="2"/>
    <x v="6"/>
    <x v="1"/>
    <x v="0"/>
    <n v="1"/>
    <x v="25"/>
    <n v="2000"/>
  </r>
  <r>
    <x v="78"/>
    <x v="70"/>
    <x v="6"/>
    <x v="6"/>
    <x v="1"/>
    <x v="3"/>
    <n v="4"/>
    <x v="56"/>
    <n v="12600"/>
  </r>
  <r>
    <x v="79"/>
    <x v="71"/>
    <x v="4"/>
    <x v="7"/>
    <x v="0"/>
    <x v="2"/>
    <n v="2"/>
    <x v="18"/>
    <n v="6600"/>
  </r>
  <r>
    <x v="80"/>
    <x v="72"/>
    <x v="3"/>
    <x v="2"/>
    <x v="1"/>
    <x v="2"/>
    <n v="4"/>
    <x v="57"/>
    <n v="1836"/>
  </r>
  <r>
    <x v="81"/>
    <x v="73"/>
    <x v="0"/>
    <x v="5"/>
    <x v="0"/>
    <x v="1"/>
    <n v="3"/>
    <x v="58"/>
    <n v="283.5"/>
  </r>
  <r>
    <x v="82"/>
    <x v="74"/>
    <x v="3"/>
    <x v="7"/>
    <x v="0"/>
    <x v="1"/>
    <n v="2"/>
    <x v="18"/>
    <n v="5280"/>
  </r>
  <r>
    <x v="83"/>
    <x v="75"/>
    <x v="8"/>
    <x v="0"/>
    <x v="0"/>
    <x v="2"/>
    <n v="4"/>
    <x v="28"/>
    <n v="4320"/>
  </r>
  <r>
    <x v="84"/>
    <x v="76"/>
    <x v="8"/>
    <x v="1"/>
    <x v="0"/>
    <x v="2"/>
    <n v="1"/>
    <x v="2"/>
    <n v="315"/>
  </r>
  <r>
    <x v="85"/>
    <x v="77"/>
    <x v="7"/>
    <x v="6"/>
    <x v="1"/>
    <x v="0"/>
    <n v="4"/>
    <x v="59"/>
    <n v="15000"/>
  </r>
  <r>
    <x v="86"/>
    <x v="28"/>
    <x v="6"/>
    <x v="2"/>
    <x v="1"/>
    <x v="1"/>
    <n v="3"/>
    <x v="60"/>
    <n v="1080"/>
  </r>
  <r>
    <x v="87"/>
    <x v="78"/>
    <x v="7"/>
    <x v="4"/>
    <x v="0"/>
    <x v="2"/>
    <n v="4"/>
    <x v="61"/>
    <n v="21120"/>
  </r>
  <r>
    <x v="88"/>
    <x v="79"/>
    <x v="1"/>
    <x v="6"/>
    <x v="1"/>
    <x v="1"/>
    <n v="1"/>
    <x v="25"/>
    <n v="3750"/>
  </r>
  <r>
    <x v="89"/>
    <x v="80"/>
    <x v="4"/>
    <x v="8"/>
    <x v="1"/>
    <x v="0"/>
    <n v="4"/>
    <x v="0"/>
    <n v="3888"/>
  </r>
  <r>
    <x v="90"/>
    <x v="11"/>
    <x v="0"/>
    <x v="7"/>
    <x v="0"/>
    <x v="0"/>
    <n v="3"/>
    <x v="62"/>
    <n v="9720"/>
  </r>
  <r>
    <x v="91"/>
    <x v="81"/>
    <x v="8"/>
    <x v="9"/>
    <x v="1"/>
    <x v="1"/>
    <n v="4"/>
    <x v="63"/>
    <n v="1920"/>
  </r>
  <r>
    <x v="92"/>
    <x v="82"/>
    <x v="2"/>
    <x v="6"/>
    <x v="1"/>
    <x v="0"/>
    <n v="3"/>
    <x v="9"/>
    <n v="12150"/>
  </r>
  <r>
    <x v="93"/>
    <x v="83"/>
    <x v="9"/>
    <x v="0"/>
    <x v="0"/>
    <x v="0"/>
    <n v="2"/>
    <x v="64"/>
    <n v="4590"/>
  </r>
  <r>
    <x v="94"/>
    <x v="31"/>
    <x v="5"/>
    <x v="7"/>
    <x v="0"/>
    <x v="1"/>
    <n v="1"/>
    <x v="65"/>
    <n v="2520"/>
  </r>
  <r>
    <x v="95"/>
    <x v="84"/>
    <x v="7"/>
    <x v="6"/>
    <x v="1"/>
    <x v="3"/>
    <n v="1"/>
    <x v="66"/>
    <n v="2250"/>
  </r>
  <r>
    <x v="96"/>
    <x v="85"/>
    <x v="0"/>
    <x v="0"/>
    <x v="0"/>
    <x v="0"/>
    <n v="4"/>
    <x v="28"/>
    <n v="12960"/>
  </r>
  <r>
    <x v="97"/>
    <x v="86"/>
    <x v="1"/>
    <x v="1"/>
    <x v="0"/>
    <x v="0"/>
    <n v="2"/>
    <x v="67"/>
    <n v="765"/>
  </r>
  <r>
    <x v="98"/>
    <x v="87"/>
    <x v="1"/>
    <x v="5"/>
    <x v="0"/>
    <x v="0"/>
    <n v="3"/>
    <x v="58"/>
    <n v="567"/>
  </r>
  <r>
    <x v="99"/>
    <x v="88"/>
    <x v="2"/>
    <x v="9"/>
    <x v="1"/>
    <x v="0"/>
    <n v="3"/>
    <x v="68"/>
    <n v="2448"/>
  </r>
  <r>
    <x v="100"/>
    <x v="89"/>
    <x v="8"/>
    <x v="6"/>
    <x v="1"/>
    <x v="0"/>
    <n v="4"/>
    <x v="69"/>
    <n v="8800"/>
  </r>
  <r>
    <x v="101"/>
    <x v="90"/>
    <x v="2"/>
    <x v="3"/>
    <x v="1"/>
    <x v="1"/>
    <n v="3"/>
    <x v="70"/>
    <n v="5670"/>
  </r>
  <r>
    <x v="102"/>
    <x v="91"/>
    <x v="8"/>
    <x v="6"/>
    <x v="1"/>
    <x v="2"/>
    <n v="3"/>
    <x v="46"/>
    <n v="6000"/>
  </r>
  <r>
    <x v="103"/>
    <x v="68"/>
    <x v="6"/>
    <x v="0"/>
    <x v="0"/>
    <x v="3"/>
    <n v="4"/>
    <x v="71"/>
    <n v="11340"/>
  </r>
  <r>
    <x v="104"/>
    <x v="92"/>
    <x v="9"/>
    <x v="3"/>
    <x v="1"/>
    <x v="3"/>
    <n v="3"/>
    <x v="0"/>
    <n v="3888"/>
  </r>
  <r>
    <x v="105"/>
    <x v="93"/>
    <x v="0"/>
    <x v="1"/>
    <x v="0"/>
    <x v="3"/>
    <n v="3"/>
    <x v="72"/>
    <n v="1417.5"/>
  </r>
  <r>
    <x v="106"/>
    <x v="37"/>
    <x v="2"/>
    <x v="5"/>
    <x v="0"/>
    <x v="0"/>
    <n v="1"/>
    <x v="73"/>
    <n v="243"/>
  </r>
  <r>
    <x v="107"/>
    <x v="94"/>
    <x v="2"/>
    <x v="3"/>
    <x v="1"/>
    <x v="2"/>
    <n v="4"/>
    <x v="31"/>
    <n v="9504"/>
  </r>
  <r>
    <x v="108"/>
    <x v="95"/>
    <x v="9"/>
    <x v="6"/>
    <x v="1"/>
    <x v="2"/>
    <n v="3"/>
    <x v="9"/>
    <n v="8100"/>
  </r>
  <r>
    <x v="109"/>
    <x v="96"/>
    <x v="1"/>
    <x v="1"/>
    <x v="0"/>
    <x v="3"/>
    <n v="4"/>
    <x v="74"/>
    <n v="1575"/>
  </r>
  <r>
    <x v="110"/>
    <x v="75"/>
    <x v="2"/>
    <x v="9"/>
    <x v="1"/>
    <x v="2"/>
    <n v="3"/>
    <x v="55"/>
    <n v="3168"/>
  </r>
  <r>
    <x v="111"/>
    <x v="97"/>
    <x v="0"/>
    <x v="5"/>
    <x v="0"/>
    <x v="3"/>
    <n v="1"/>
    <x v="75"/>
    <n v="132"/>
  </r>
  <r>
    <x v="112"/>
    <x v="86"/>
    <x v="2"/>
    <x v="9"/>
    <x v="1"/>
    <x v="0"/>
    <n v="2"/>
    <x v="45"/>
    <n v="1152"/>
  </r>
  <r>
    <x v="113"/>
    <x v="98"/>
    <x v="1"/>
    <x v="6"/>
    <x v="1"/>
    <x v="3"/>
    <n v="3"/>
    <x v="76"/>
    <n v="5100"/>
  </r>
  <r>
    <x v="114"/>
    <x v="20"/>
    <x v="7"/>
    <x v="5"/>
    <x v="0"/>
    <x v="1"/>
    <n v="3"/>
    <x v="47"/>
    <n v="688.5"/>
  </r>
  <r>
    <x v="115"/>
    <x v="99"/>
    <x v="0"/>
    <x v="2"/>
    <x v="1"/>
    <x v="1"/>
    <n v="1"/>
    <x v="10"/>
    <n v="315"/>
  </r>
  <r>
    <x v="116"/>
    <x v="100"/>
    <x v="4"/>
    <x v="7"/>
    <x v="0"/>
    <x v="2"/>
    <n v="3"/>
    <x v="39"/>
    <n v="10800"/>
  </r>
  <r>
    <x v="117"/>
    <x v="82"/>
    <x v="5"/>
    <x v="6"/>
    <x v="1"/>
    <x v="3"/>
    <n v="3"/>
    <x v="46"/>
    <n v="4500"/>
  </r>
  <r>
    <x v="118"/>
    <x v="101"/>
    <x v="6"/>
    <x v="0"/>
    <x v="0"/>
    <x v="2"/>
    <n v="1"/>
    <x v="77"/>
    <n v="1296"/>
  </r>
  <r>
    <x v="119"/>
    <x v="69"/>
    <x v="4"/>
    <x v="8"/>
    <x v="1"/>
    <x v="3"/>
    <n v="1"/>
    <x v="33"/>
    <n v="11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B453C-16AB-4AD9-A6A9-51B7CF3440A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L12" firstHeaderRow="0" firstDataRow="1" firstDataCol="1"/>
  <pivotFields count="10">
    <pivotField showAll="0"/>
    <pivotField numFmtId="164" showAll="0">
      <items count="103">
        <item x="48"/>
        <item x="18"/>
        <item x="100"/>
        <item x="22"/>
        <item x="29"/>
        <item x="87"/>
        <item x="99"/>
        <item x="16"/>
        <item x="82"/>
        <item x="12"/>
        <item x="38"/>
        <item x="35"/>
        <item x="17"/>
        <item x="101"/>
        <item x="33"/>
        <item x="40"/>
        <item x="95"/>
        <item x="6"/>
        <item x="24"/>
        <item x="51"/>
        <item x="14"/>
        <item x="66"/>
        <item x="4"/>
        <item x="84"/>
        <item x="20"/>
        <item x="37"/>
        <item x="7"/>
        <item x="41"/>
        <item x="63"/>
        <item x="13"/>
        <item x="30"/>
        <item x="28"/>
        <item x="27"/>
        <item x="97"/>
        <item x="8"/>
        <item x="34"/>
        <item x="94"/>
        <item x="68"/>
        <item x="0"/>
        <item x="83"/>
        <item x="69"/>
        <item x="71"/>
        <item x="45"/>
        <item x="72"/>
        <item x="81"/>
        <item x="46"/>
        <item x="36"/>
        <item x="19"/>
        <item x="77"/>
        <item x="60"/>
        <item x="75"/>
        <item x="53"/>
        <item x="73"/>
        <item x="93"/>
        <item x="5"/>
        <item x="89"/>
        <item x="96"/>
        <item x="9"/>
        <item x="21"/>
        <item x="11"/>
        <item x="74"/>
        <item x="56"/>
        <item x="32"/>
        <item x="67"/>
        <item x="1"/>
        <item x="15"/>
        <item x="59"/>
        <item x="57"/>
        <item x="64"/>
        <item x="3"/>
        <item x="42"/>
        <item x="55"/>
        <item x="31"/>
        <item x="47"/>
        <item x="92"/>
        <item x="39"/>
        <item x="65"/>
        <item x="98"/>
        <item x="25"/>
        <item x="79"/>
        <item x="43"/>
        <item x="50"/>
        <item x="49"/>
        <item x="61"/>
        <item x="23"/>
        <item x="62"/>
        <item x="85"/>
        <item x="76"/>
        <item x="91"/>
        <item x="2"/>
        <item x="70"/>
        <item x="10"/>
        <item x="80"/>
        <item x="88"/>
        <item x="90"/>
        <item x="44"/>
        <item x="78"/>
        <item x="26"/>
        <item x="52"/>
        <item x="86"/>
        <item x="54"/>
        <item x="58"/>
        <item t="default"/>
      </items>
    </pivotField>
    <pivotField showAll="0"/>
    <pivotField axis="axisRow" showAll="0">
      <items count="11">
        <item x="8"/>
        <item x="2"/>
        <item x="1"/>
        <item x="4"/>
        <item x="0"/>
        <item x="5"/>
        <item x="9"/>
        <item x="3"/>
        <item x="7"/>
        <item x="6"/>
        <item t="default"/>
      </items>
    </pivotField>
    <pivotField showAll="0">
      <items count="3">
        <item x="0"/>
        <item x="1"/>
        <item t="default"/>
      </items>
    </pivotField>
    <pivotField showAll="0">
      <items count="5">
        <item x="2"/>
        <item x="0"/>
        <item x="1"/>
        <item x="3"/>
        <item t="default"/>
      </items>
    </pivotField>
    <pivotField dataField="1" showAll="0"/>
    <pivotField dataField="1" showAll="0"/>
    <pivotField dataField="1" showAll="0"/>
    <pivotField showAll="0">
      <items count="15">
        <item x="0"/>
        <item x="1"/>
        <item x="2"/>
        <item x="3"/>
        <item x="4"/>
        <item x="5"/>
        <item x="6"/>
        <item x="7"/>
        <item x="8"/>
        <item x="9"/>
        <item x="10"/>
        <item x="11"/>
        <item x="12"/>
        <item x="13"/>
        <item t="default"/>
      </items>
    </pivotField>
  </pivotFields>
  <rowFields count="1">
    <field x="3"/>
  </rowFields>
  <rowItems count="11">
    <i>
      <x/>
    </i>
    <i>
      <x v="1"/>
    </i>
    <i>
      <x v="2"/>
    </i>
    <i>
      <x v="3"/>
    </i>
    <i>
      <x v="4"/>
    </i>
    <i>
      <x v="5"/>
    </i>
    <i>
      <x v="6"/>
    </i>
    <i>
      <x v="7"/>
    </i>
    <i>
      <x v="8"/>
    </i>
    <i>
      <x v="9"/>
    </i>
    <i t="grand">
      <x/>
    </i>
  </rowItems>
  <colFields count="1">
    <field x="-2"/>
  </colFields>
  <colItems count="3">
    <i>
      <x/>
    </i>
    <i i="1">
      <x v="1"/>
    </i>
    <i i="2">
      <x v="2"/>
    </i>
  </colItems>
  <dataFields count="3">
    <dataField name="Sum of Quantity" fld="6" baseField="0" baseItem="0"/>
    <dataField name="Sum of Sales" fld="7" baseField="0" baseItem="0"/>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1106F6-48A4-423D-86EB-BDFDA4EB1AE9}"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I15:L21" firstHeaderRow="1" firstDataRow="2" firstDataCol="1"/>
  <pivotFields count="10">
    <pivotField showAll="0"/>
    <pivotField numFmtId="164" showAll="0">
      <items count="103">
        <item x="48"/>
        <item x="18"/>
        <item x="100"/>
        <item x="22"/>
        <item x="29"/>
        <item x="87"/>
        <item x="99"/>
        <item x="16"/>
        <item x="82"/>
        <item x="12"/>
        <item x="38"/>
        <item x="35"/>
        <item x="17"/>
        <item x="101"/>
        <item x="33"/>
        <item x="40"/>
        <item x="95"/>
        <item x="6"/>
        <item x="24"/>
        <item x="51"/>
        <item x="14"/>
        <item x="66"/>
        <item x="4"/>
        <item x="84"/>
        <item x="20"/>
        <item x="37"/>
        <item x="7"/>
        <item x="41"/>
        <item x="63"/>
        <item x="13"/>
        <item x="30"/>
        <item x="28"/>
        <item x="27"/>
        <item x="97"/>
        <item x="8"/>
        <item x="34"/>
        <item x="94"/>
        <item x="68"/>
        <item x="0"/>
        <item x="83"/>
        <item x="69"/>
        <item x="71"/>
        <item x="45"/>
        <item x="72"/>
        <item x="81"/>
        <item x="46"/>
        <item x="36"/>
        <item x="19"/>
        <item x="77"/>
        <item x="60"/>
        <item x="75"/>
        <item x="53"/>
        <item x="73"/>
        <item x="93"/>
        <item x="5"/>
        <item x="89"/>
        <item x="96"/>
        <item x="9"/>
        <item x="21"/>
        <item x="11"/>
        <item x="74"/>
        <item x="56"/>
        <item x="32"/>
        <item x="67"/>
        <item x="1"/>
        <item x="15"/>
        <item x="59"/>
        <item x="57"/>
        <item x="64"/>
        <item x="3"/>
        <item x="42"/>
        <item x="55"/>
        <item x="31"/>
        <item x="47"/>
        <item x="92"/>
        <item x="39"/>
        <item x="65"/>
        <item x="98"/>
        <item x="25"/>
        <item x="79"/>
        <item x="43"/>
        <item x="50"/>
        <item x="49"/>
        <item x="61"/>
        <item x="23"/>
        <item x="62"/>
        <item x="85"/>
        <item x="76"/>
        <item x="91"/>
        <item x="2"/>
        <item x="70"/>
        <item x="10"/>
        <item x="80"/>
        <item x="88"/>
        <item x="90"/>
        <item x="44"/>
        <item x="78"/>
        <item x="26"/>
        <item x="52"/>
        <item x="86"/>
        <item x="54"/>
        <item x="58"/>
        <item t="default"/>
      </items>
    </pivotField>
    <pivotField showAll="0"/>
    <pivotField showAll="0"/>
    <pivotField axis="axisCol" showAll="0">
      <items count="3">
        <item x="0"/>
        <item x="1"/>
        <item t="default"/>
      </items>
    </pivotField>
    <pivotField axis="axisRow" showAll="0">
      <items count="5">
        <item x="2"/>
        <item x="0"/>
        <item x="1"/>
        <item x="3"/>
        <item t="default"/>
      </items>
    </pivotField>
    <pivotField showAll="0"/>
    <pivotField dataField="1" showAll="0"/>
    <pivotField showAll="0"/>
    <pivotField showAll="0" defaultSubtotal="0">
      <items count="14">
        <item x="0"/>
        <item x="1"/>
        <item x="2"/>
        <item x="3"/>
        <item x="4"/>
        <item x="5"/>
        <item x="6"/>
        <item x="7"/>
        <item x="8"/>
        <item x="9"/>
        <item x="10"/>
        <item x="11"/>
        <item x="12"/>
        <item x="13"/>
      </items>
    </pivotField>
  </pivotFields>
  <rowFields count="1">
    <field x="5"/>
  </rowFields>
  <rowItems count="5">
    <i>
      <x/>
    </i>
    <i>
      <x v="1"/>
    </i>
    <i>
      <x v="2"/>
    </i>
    <i>
      <x v="3"/>
    </i>
    <i t="grand">
      <x/>
    </i>
  </rowItems>
  <colFields count="1">
    <field x="4"/>
  </colFields>
  <colItems count="3">
    <i>
      <x/>
    </i>
    <i>
      <x v="1"/>
    </i>
    <i t="grand">
      <x/>
    </i>
  </colItems>
  <dataFields count="1">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D24816-C8B1-4C8E-8979-1FA1AADEFBF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5:C36" firstHeaderRow="0" firstDataRow="1" firstDataCol="1"/>
  <pivotFields count="10">
    <pivotField showAll="0"/>
    <pivotField numFmtId="164" showAll="0">
      <items count="103">
        <item x="48"/>
        <item x="18"/>
        <item x="100"/>
        <item x="22"/>
        <item x="29"/>
        <item x="87"/>
        <item x="99"/>
        <item x="16"/>
        <item x="82"/>
        <item x="12"/>
        <item x="38"/>
        <item x="35"/>
        <item x="17"/>
        <item x="101"/>
        <item x="33"/>
        <item x="40"/>
        <item x="95"/>
        <item x="6"/>
        <item x="24"/>
        <item x="51"/>
        <item x="14"/>
        <item x="66"/>
        <item x="4"/>
        <item x="84"/>
        <item x="20"/>
        <item x="37"/>
        <item x="7"/>
        <item x="41"/>
        <item x="63"/>
        <item x="13"/>
        <item x="30"/>
        <item x="28"/>
        <item x="27"/>
        <item x="97"/>
        <item x="8"/>
        <item x="34"/>
        <item x="94"/>
        <item x="68"/>
        <item x="0"/>
        <item x="83"/>
        <item x="69"/>
        <item x="71"/>
        <item x="45"/>
        <item x="72"/>
        <item x="81"/>
        <item x="46"/>
        <item x="36"/>
        <item x="19"/>
        <item x="77"/>
        <item x="60"/>
        <item x="75"/>
        <item x="53"/>
        <item x="73"/>
        <item x="93"/>
        <item x="5"/>
        <item x="89"/>
        <item x="96"/>
        <item x="9"/>
        <item x="21"/>
        <item x="11"/>
        <item x="74"/>
        <item x="56"/>
        <item x="32"/>
        <item x="67"/>
        <item x="1"/>
        <item x="15"/>
        <item x="59"/>
        <item x="57"/>
        <item x="64"/>
        <item x="3"/>
        <item x="42"/>
        <item x="55"/>
        <item x="31"/>
        <item x="47"/>
        <item x="92"/>
        <item x="39"/>
        <item x="65"/>
        <item x="98"/>
        <item x="25"/>
        <item x="79"/>
        <item x="43"/>
        <item x="50"/>
        <item x="49"/>
        <item x="61"/>
        <item x="23"/>
        <item x="62"/>
        <item x="85"/>
        <item x="76"/>
        <item x="91"/>
        <item x="2"/>
        <item x="70"/>
        <item x="10"/>
        <item x="80"/>
        <item x="88"/>
        <item x="90"/>
        <item x="44"/>
        <item x="78"/>
        <item x="26"/>
        <item x="52"/>
        <item x="86"/>
        <item x="54"/>
        <item x="58"/>
        <item t="default"/>
      </items>
    </pivotField>
    <pivotField showAll="0"/>
    <pivotField axis="axisRow" showAll="0" sortType="descending">
      <items count="11">
        <item x="8"/>
        <item x="2"/>
        <item x="1"/>
        <item x="4"/>
        <item x="0"/>
        <item x="5"/>
        <item x="9"/>
        <item x="3"/>
        <item x="7"/>
        <item x="6"/>
        <item t="default"/>
      </items>
      <autoSortScope>
        <pivotArea dataOnly="0" outline="0" fieldPosition="0">
          <references count="1">
            <reference field="4294967294" count="1" selected="0">
              <x v="0"/>
            </reference>
          </references>
        </pivotArea>
      </autoSortScope>
    </pivotField>
    <pivotField showAll="0"/>
    <pivotField showAll="0">
      <items count="5">
        <item x="2"/>
        <item x="0"/>
        <item x="1"/>
        <item x="3"/>
        <item t="default"/>
      </items>
    </pivotField>
    <pivotField showAll="0"/>
    <pivotField dataField="1" showAll="0"/>
    <pivotField dataField="1" showAll="0"/>
    <pivotField showAll="0" defaultSubtotal="0">
      <items count="14">
        <item x="0"/>
        <item x="1"/>
        <item x="2"/>
        <item x="3"/>
        <item x="4"/>
        <item x="5"/>
        <item x="6"/>
        <item x="7"/>
        <item x="8"/>
        <item x="9"/>
        <item x="10"/>
        <item x="11"/>
        <item x="12"/>
        <item x="13"/>
      </items>
    </pivotField>
  </pivotFields>
  <rowFields count="1">
    <field x="3"/>
  </rowFields>
  <rowItems count="11">
    <i>
      <x v="3"/>
    </i>
    <i>
      <x v="9"/>
    </i>
    <i>
      <x v="8"/>
    </i>
    <i>
      <x v="4"/>
    </i>
    <i>
      <x v="7"/>
    </i>
    <i>
      <x/>
    </i>
    <i>
      <x v="6"/>
    </i>
    <i>
      <x v="2"/>
    </i>
    <i>
      <x v="1"/>
    </i>
    <i>
      <x v="5"/>
    </i>
    <i t="grand">
      <x/>
    </i>
  </rowItems>
  <colFields count="1">
    <field x="-2"/>
  </colFields>
  <colItems count="2">
    <i>
      <x/>
    </i>
    <i i="1">
      <x v="1"/>
    </i>
  </colItems>
  <dataFields count="2">
    <dataField name="Sum of Profit" fld="8" baseField="0" baseItem="0"/>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EA7A31-937D-4EE9-A80C-FC439F79708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15:P26" firstHeaderRow="0" firstDataRow="1" firstDataCol="1"/>
  <pivotFields count="10">
    <pivotField showAll="0"/>
    <pivotField numFmtId="164" showAll="0">
      <items count="103">
        <item x="48"/>
        <item x="18"/>
        <item x="100"/>
        <item x="22"/>
        <item x="29"/>
        <item x="87"/>
        <item x="99"/>
        <item x="16"/>
        <item x="82"/>
        <item x="12"/>
        <item x="38"/>
        <item x="35"/>
        <item x="17"/>
        <item x="101"/>
        <item x="33"/>
        <item x="40"/>
        <item x="95"/>
        <item x="6"/>
        <item x="24"/>
        <item x="51"/>
        <item x="14"/>
        <item x="66"/>
        <item x="4"/>
        <item x="84"/>
        <item x="20"/>
        <item x="37"/>
        <item x="7"/>
        <item x="41"/>
        <item x="63"/>
        <item x="13"/>
        <item x="30"/>
        <item x="28"/>
        <item x="27"/>
        <item x="97"/>
        <item x="8"/>
        <item x="34"/>
        <item x="94"/>
        <item x="68"/>
        <item x="0"/>
        <item x="83"/>
        <item x="69"/>
        <item x="71"/>
        <item x="45"/>
        <item x="72"/>
        <item x="81"/>
        <item x="46"/>
        <item x="36"/>
        <item x="19"/>
        <item x="77"/>
        <item x="60"/>
        <item x="75"/>
        <item x="53"/>
        <item x="73"/>
        <item x="93"/>
        <item x="5"/>
        <item x="89"/>
        <item x="96"/>
        <item x="9"/>
        <item x="21"/>
        <item x="11"/>
        <item x="74"/>
        <item x="56"/>
        <item x="32"/>
        <item x="67"/>
        <item x="1"/>
        <item x="15"/>
        <item x="59"/>
        <item x="57"/>
        <item x="64"/>
        <item x="3"/>
        <item x="42"/>
        <item x="55"/>
        <item x="31"/>
        <item x="47"/>
        <item x="92"/>
        <item x="39"/>
        <item x="65"/>
        <item x="98"/>
        <item x="25"/>
        <item x="79"/>
        <item x="43"/>
        <item x="50"/>
        <item x="49"/>
        <item x="61"/>
        <item x="23"/>
        <item x="62"/>
        <item x="85"/>
        <item x="76"/>
        <item x="91"/>
        <item x="2"/>
        <item x="70"/>
        <item x="10"/>
        <item x="80"/>
        <item x="88"/>
        <item x="90"/>
        <item x="44"/>
        <item x="78"/>
        <item x="26"/>
        <item x="52"/>
        <item x="86"/>
        <item x="54"/>
        <item x="58"/>
        <item t="default"/>
      </items>
    </pivotField>
    <pivotField showAll="0"/>
    <pivotField axis="axisRow" showAll="0">
      <items count="11">
        <item x="8"/>
        <item x="2"/>
        <item x="1"/>
        <item x="4"/>
        <item x="0"/>
        <item x="5"/>
        <item x="9"/>
        <item x="3"/>
        <item x="7"/>
        <item x="6"/>
        <item t="default"/>
      </items>
    </pivotField>
    <pivotField showAll="0"/>
    <pivotField showAll="0">
      <items count="5">
        <item x="2"/>
        <item x="0"/>
        <item x="1"/>
        <item x="3"/>
        <item t="default"/>
      </items>
    </pivotField>
    <pivotField showAll="0"/>
    <pivotField dataField="1" showAll="0"/>
    <pivotField dataField="1" showAll="0"/>
    <pivotField showAll="0" defaultSubtotal="0">
      <items count="14">
        <item x="0"/>
        <item x="1"/>
        <item x="2"/>
        <item x="3"/>
        <item x="4"/>
        <item x="5"/>
        <item x="6"/>
        <item x="7"/>
        <item x="8"/>
        <item x="9"/>
        <item x="10"/>
        <item x="11"/>
        <item x="12"/>
        <item x="13"/>
      </items>
    </pivotField>
  </pivotFields>
  <rowFields count="1">
    <field x="3"/>
  </rowFields>
  <rowItems count="11">
    <i>
      <x/>
    </i>
    <i>
      <x v="1"/>
    </i>
    <i>
      <x v="2"/>
    </i>
    <i>
      <x v="3"/>
    </i>
    <i>
      <x v="4"/>
    </i>
    <i>
      <x v="5"/>
    </i>
    <i>
      <x v="6"/>
    </i>
    <i>
      <x v="7"/>
    </i>
    <i>
      <x v="8"/>
    </i>
    <i>
      <x v="9"/>
    </i>
    <i t="grand">
      <x/>
    </i>
  </rowItems>
  <colFields count="1">
    <field x="-2"/>
  </colFields>
  <colItems count="2">
    <i>
      <x/>
    </i>
    <i i="1">
      <x v="1"/>
    </i>
  </colItems>
  <dataFields count="2">
    <dataField name="Sum of Sales" fld="7" baseField="0" baseItem="0"/>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E7CFF8-D151-4244-8A74-780D2E1683D2}" name="PT1 — Regional Performan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C6" firstHeaderRow="0" firstDataRow="1" firstDataCol="1"/>
  <pivotFields count="10">
    <pivotField showAll="0"/>
    <pivotField showAll="0">
      <items count="103">
        <item x="48"/>
        <item x="18"/>
        <item x="100"/>
        <item x="22"/>
        <item x="29"/>
        <item x="87"/>
        <item x="99"/>
        <item x="16"/>
        <item x="82"/>
        <item x="12"/>
        <item x="38"/>
        <item x="35"/>
        <item x="17"/>
        <item x="101"/>
        <item x="33"/>
        <item x="40"/>
        <item x="95"/>
        <item x="6"/>
        <item x="24"/>
        <item x="51"/>
        <item x="14"/>
        <item x="66"/>
        <item x="4"/>
        <item x="84"/>
        <item x="20"/>
        <item x="37"/>
        <item x="7"/>
        <item x="41"/>
        <item x="63"/>
        <item x="13"/>
        <item x="30"/>
        <item x="28"/>
        <item x="27"/>
        <item x="97"/>
        <item x="8"/>
        <item x="34"/>
        <item x="94"/>
        <item x="68"/>
        <item x="0"/>
        <item x="83"/>
        <item x="69"/>
        <item x="71"/>
        <item x="45"/>
        <item x="72"/>
        <item x="81"/>
        <item x="46"/>
        <item x="36"/>
        <item x="19"/>
        <item x="77"/>
        <item x="60"/>
        <item x="75"/>
        <item x="53"/>
        <item x="73"/>
        <item x="93"/>
        <item x="5"/>
        <item x="89"/>
        <item x="96"/>
        <item x="9"/>
        <item x="21"/>
        <item x="11"/>
        <item x="74"/>
        <item x="56"/>
        <item x="32"/>
        <item x="67"/>
        <item x="1"/>
        <item x="15"/>
        <item x="59"/>
        <item x="57"/>
        <item x="64"/>
        <item x="3"/>
        <item x="42"/>
        <item x="55"/>
        <item x="31"/>
        <item x="47"/>
        <item x="92"/>
        <item x="39"/>
        <item x="65"/>
        <item x="98"/>
        <item x="25"/>
        <item x="79"/>
        <item x="43"/>
        <item x="50"/>
        <item x="49"/>
        <item x="61"/>
        <item x="23"/>
        <item x="62"/>
        <item x="85"/>
        <item x="76"/>
        <item x="91"/>
        <item x="2"/>
        <item x="70"/>
        <item x="10"/>
        <item x="80"/>
        <item x="88"/>
        <item x="90"/>
        <item x="44"/>
        <item x="78"/>
        <item x="26"/>
        <item x="52"/>
        <item x="86"/>
        <item x="54"/>
        <item x="58"/>
        <item t="default"/>
      </items>
    </pivotField>
    <pivotField showAll="0"/>
    <pivotField showAll="0"/>
    <pivotField showAll="0"/>
    <pivotField axis="axisRow" showAll="0">
      <items count="5">
        <item x="2"/>
        <item x="0"/>
        <item x="1"/>
        <item x="3"/>
        <item t="default"/>
      </items>
    </pivotField>
    <pivotField showAll="0"/>
    <pivotField dataField="1" showAll="0"/>
    <pivotField dataField="1" showAll="0"/>
    <pivotField showAll="0">
      <items count="15">
        <item x="0"/>
        <item x="1"/>
        <item x="2"/>
        <item x="3"/>
        <item x="4"/>
        <item x="5"/>
        <item x="6"/>
        <item x="7"/>
        <item x="8"/>
        <item x="9"/>
        <item x="10"/>
        <item x="11"/>
        <item x="12"/>
        <item x="13"/>
        <item t="default"/>
      </items>
    </pivotField>
  </pivotFields>
  <rowFields count="1">
    <field x="5"/>
  </rowFields>
  <rowItems count="5">
    <i>
      <x/>
    </i>
    <i>
      <x v="1"/>
    </i>
    <i>
      <x v="2"/>
    </i>
    <i>
      <x v="3"/>
    </i>
    <i t="grand">
      <x/>
    </i>
  </rowItems>
  <colFields count="1">
    <field x="-2"/>
  </colFields>
  <colItems count="2">
    <i>
      <x/>
    </i>
    <i i="1">
      <x v="1"/>
    </i>
  </colItems>
  <dataFields count="2">
    <dataField name="Sum of Sales" fld="7" baseField="0" baseItem="0"/>
    <dataField name="Sum of Profit" fld="8" baseField="0" baseItem="0"/>
  </dataFields>
  <chartFormats count="2">
    <chartFormat chart="11"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7EDD221-2ADC-42BC-897B-0576C02F724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9:C22" firstHeaderRow="0" firstDataRow="1" firstDataCol="1"/>
  <pivotFields count="10">
    <pivotField showAll="0"/>
    <pivotField numFmtId="164" showAll="0">
      <items count="103">
        <item x="48"/>
        <item x="18"/>
        <item x="100"/>
        <item x="22"/>
        <item x="29"/>
        <item x="87"/>
        <item x="99"/>
        <item x="16"/>
        <item x="82"/>
        <item x="12"/>
        <item x="38"/>
        <item x="35"/>
        <item x="17"/>
        <item x="101"/>
        <item x="33"/>
        <item x="40"/>
        <item x="95"/>
        <item x="6"/>
        <item x="24"/>
        <item x="51"/>
        <item x="14"/>
        <item x="66"/>
        <item x="4"/>
        <item x="84"/>
        <item x="20"/>
        <item x="37"/>
        <item x="7"/>
        <item x="41"/>
        <item x="63"/>
        <item x="13"/>
        <item x="30"/>
        <item x="28"/>
        <item x="27"/>
        <item x="97"/>
        <item x="8"/>
        <item x="34"/>
        <item x="94"/>
        <item x="68"/>
        <item x="0"/>
        <item x="83"/>
        <item x="69"/>
        <item x="71"/>
        <item x="45"/>
        <item x="72"/>
        <item x="81"/>
        <item x="46"/>
        <item x="36"/>
        <item x="19"/>
        <item x="77"/>
        <item x="60"/>
        <item x="75"/>
        <item x="53"/>
        <item x="73"/>
        <item x="93"/>
        <item x="5"/>
        <item x="89"/>
        <item x="96"/>
        <item x="9"/>
        <item x="21"/>
        <item x="11"/>
        <item x="74"/>
        <item x="56"/>
        <item x="32"/>
        <item x="67"/>
        <item x="1"/>
        <item x="15"/>
        <item x="59"/>
        <item x="57"/>
        <item x="64"/>
        <item x="3"/>
        <item x="42"/>
        <item x="55"/>
        <item x="31"/>
        <item x="47"/>
        <item x="92"/>
        <item x="39"/>
        <item x="65"/>
        <item x="98"/>
        <item x="25"/>
        <item x="79"/>
        <item x="43"/>
        <item x="50"/>
        <item x="49"/>
        <item x="61"/>
        <item x="23"/>
        <item x="62"/>
        <item x="85"/>
        <item x="76"/>
        <item x="91"/>
        <item x="2"/>
        <item x="70"/>
        <item x="10"/>
        <item x="80"/>
        <item x="88"/>
        <item x="90"/>
        <item x="44"/>
        <item x="78"/>
        <item x="26"/>
        <item x="52"/>
        <item x="86"/>
        <item x="54"/>
        <item x="58"/>
        <item t="default"/>
      </items>
    </pivotField>
    <pivotField showAll="0"/>
    <pivotField showAll="0"/>
    <pivotField showAll="0"/>
    <pivotField showAll="0">
      <items count="5">
        <item x="2"/>
        <item x="0"/>
        <item x="1"/>
        <item x="3"/>
        <item t="default"/>
      </items>
    </pivotField>
    <pivotField showAll="0"/>
    <pivotField dataField="1" showAll="0"/>
    <pivotField dataField="1" showAll="0"/>
    <pivotField axis="axisRow" showAll="0" sortType="ascending">
      <items count="15">
        <item x="1"/>
        <item x="2"/>
        <item x="3"/>
        <item x="4"/>
        <item x="5"/>
        <item x="6"/>
        <item x="7"/>
        <item x="8"/>
        <item x="9"/>
        <item x="10"/>
        <item x="11"/>
        <item x="12"/>
        <item x="0"/>
        <item x="13"/>
        <item t="default"/>
      </items>
    </pivotField>
  </pivotFields>
  <rowFields count="1">
    <field x="9"/>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fld="7" baseField="0" baseItem="0"/>
    <dataField name="Sum of Profit" fld="8"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F213CF7-CD14-439A-A534-8B5A91D4767B}"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N1:Q12" firstHeaderRow="0" firstDataRow="1" firstDataCol="1"/>
  <pivotFields count="10">
    <pivotField dataField="1"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numFmtId="164" showAll="0">
      <items count="103">
        <item x="48"/>
        <item x="18"/>
        <item x="100"/>
        <item x="22"/>
        <item x="29"/>
        <item x="87"/>
        <item x="99"/>
        <item x="16"/>
        <item x="82"/>
        <item x="12"/>
        <item x="38"/>
        <item x="35"/>
        <item x="17"/>
        <item x="101"/>
        <item x="33"/>
        <item x="40"/>
        <item x="95"/>
        <item x="6"/>
        <item x="24"/>
        <item x="51"/>
        <item x="14"/>
        <item x="66"/>
        <item x="4"/>
        <item x="84"/>
        <item x="20"/>
        <item x="37"/>
        <item x="7"/>
        <item x="41"/>
        <item x="63"/>
        <item x="13"/>
        <item x="30"/>
        <item x="28"/>
        <item x="27"/>
        <item x="97"/>
        <item x="8"/>
        <item x="34"/>
        <item x="94"/>
        <item x="68"/>
        <item x="0"/>
        <item x="83"/>
        <item x="69"/>
        <item x="71"/>
        <item x="45"/>
        <item x="72"/>
        <item x="81"/>
        <item x="46"/>
        <item x="36"/>
        <item x="19"/>
        <item x="77"/>
        <item x="60"/>
        <item x="75"/>
        <item x="53"/>
        <item x="73"/>
        <item x="93"/>
        <item x="5"/>
        <item x="89"/>
        <item x="96"/>
        <item x="9"/>
        <item x="21"/>
        <item x="11"/>
        <item x="74"/>
        <item x="56"/>
        <item x="32"/>
        <item x="67"/>
        <item x="1"/>
        <item x="15"/>
        <item x="59"/>
        <item x="57"/>
        <item x="64"/>
        <item x="3"/>
        <item x="42"/>
        <item x="55"/>
        <item x="31"/>
        <item x="47"/>
        <item x="92"/>
        <item x="39"/>
        <item x="65"/>
        <item x="98"/>
        <item x="25"/>
        <item x="79"/>
        <item x="43"/>
        <item x="50"/>
        <item x="49"/>
        <item x="61"/>
        <item x="23"/>
        <item x="62"/>
        <item x="85"/>
        <item x="76"/>
        <item x="91"/>
        <item x="2"/>
        <item x="70"/>
        <item x="10"/>
        <item x="80"/>
        <item x="88"/>
        <item x="90"/>
        <item x="44"/>
        <item x="78"/>
        <item x="26"/>
        <item x="52"/>
        <item x="86"/>
        <item x="54"/>
        <item x="58"/>
        <item t="default"/>
      </items>
    </pivotField>
    <pivotField axis="axisRow" showAll="0" sortType="ascending">
      <items count="11">
        <item x="5"/>
        <item x="7"/>
        <item x="6"/>
        <item x="8"/>
        <item x="4"/>
        <item x="9"/>
        <item x="0"/>
        <item x="2"/>
        <item x="3"/>
        <item x="1"/>
        <item t="default"/>
      </items>
      <autoSortScope>
        <pivotArea dataOnly="0" outline="0" fieldPosition="0">
          <references count="1">
            <reference field="4294967294" count="1" selected="0">
              <x v="1"/>
            </reference>
          </references>
        </pivotArea>
      </autoSortScope>
    </pivotField>
    <pivotField showAll="0"/>
    <pivotField showAll="0"/>
    <pivotField showAll="0">
      <items count="5">
        <item x="2"/>
        <item x="0"/>
        <item x="1"/>
        <item x="3"/>
        <item t="default"/>
      </items>
    </pivotField>
    <pivotField showAll="0"/>
    <pivotField dataField="1" showAll="0">
      <items count="79">
        <item x="7"/>
        <item x="73"/>
        <item x="75"/>
        <item x="21"/>
        <item x="8"/>
        <item x="2"/>
        <item x="34"/>
        <item x="43"/>
        <item x="10"/>
        <item x="49"/>
        <item x="47"/>
        <item x="67"/>
        <item x="58"/>
        <item x="29"/>
        <item x="12"/>
        <item x="17"/>
        <item x="27"/>
        <item x="19"/>
        <item x="41"/>
        <item x="40"/>
        <item x="24"/>
        <item x="3"/>
        <item x="72"/>
        <item x="32"/>
        <item x="11"/>
        <item x="48"/>
        <item x="60"/>
        <item x="33"/>
        <item x="57"/>
        <item x="74"/>
        <item x="23"/>
        <item x="13"/>
        <item x="45"/>
        <item x="1"/>
        <item x="77"/>
        <item x="53"/>
        <item x="42"/>
        <item x="68"/>
        <item x="66"/>
        <item x="4"/>
        <item x="36"/>
        <item x="25"/>
        <item x="55"/>
        <item x="14"/>
        <item x="16"/>
        <item x="50"/>
        <item x="64"/>
        <item x="65"/>
        <item x="63"/>
        <item x="0"/>
        <item x="51"/>
        <item x="70"/>
        <item x="35"/>
        <item x="30"/>
        <item x="38"/>
        <item x="31"/>
        <item x="22"/>
        <item x="5"/>
        <item x="20"/>
        <item x="76"/>
        <item x="18"/>
        <item x="9"/>
        <item x="28"/>
        <item x="46"/>
        <item x="71"/>
        <item x="54"/>
        <item x="62"/>
        <item x="39"/>
        <item x="59"/>
        <item x="56"/>
        <item x="69"/>
        <item x="15"/>
        <item x="44"/>
        <item x="26"/>
        <item x="6"/>
        <item x="52"/>
        <item x="61"/>
        <item x="37"/>
        <item t="default"/>
      </items>
    </pivotField>
    <pivotField dataField="1" showAll="0"/>
    <pivotField showAll="0">
      <items count="15">
        <item x="0"/>
        <item x="1"/>
        <item x="2"/>
        <item x="3"/>
        <item x="4"/>
        <item x="5"/>
        <item x="6"/>
        <item x="7"/>
        <item x="8"/>
        <item x="9"/>
        <item x="10"/>
        <item x="11"/>
        <item x="12"/>
        <item x="13"/>
        <item t="default"/>
      </items>
    </pivotField>
  </pivotFields>
  <rowFields count="1">
    <field x="2"/>
  </rowFields>
  <rowItems count="11">
    <i>
      <x/>
    </i>
    <i>
      <x v="5"/>
    </i>
    <i>
      <x v="8"/>
    </i>
    <i>
      <x v="9"/>
    </i>
    <i>
      <x v="2"/>
    </i>
    <i>
      <x v="1"/>
    </i>
    <i>
      <x v="3"/>
    </i>
    <i>
      <x v="6"/>
    </i>
    <i>
      <x v="7"/>
    </i>
    <i>
      <x v="4"/>
    </i>
    <i t="grand">
      <x/>
    </i>
  </rowItems>
  <colFields count="1">
    <field x="-2"/>
  </colFields>
  <colItems count="3">
    <i>
      <x/>
    </i>
    <i i="1">
      <x v="1"/>
    </i>
    <i i="2">
      <x v="2"/>
    </i>
  </colItems>
  <dataFields count="3">
    <dataField name="Count of Order ID" fld="0" subtotal="count" baseField="0" baseItem="0"/>
    <dataField name="Sum of Sales" fld="7" baseField="0" baseItem="0"/>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B272B14-7B58-420F-91C0-D5C7EB07CE1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F25:G31" firstHeaderRow="1" firstDataRow="1" firstDataCol="1"/>
  <pivotFields count="10">
    <pivotField showAll="0"/>
    <pivotField numFmtId="164" showAll="0">
      <items count="103">
        <item x="48"/>
        <item x="18"/>
        <item x="100"/>
        <item x="22"/>
        <item x="29"/>
        <item x="87"/>
        <item x="99"/>
        <item x="16"/>
        <item x="82"/>
        <item x="12"/>
        <item x="38"/>
        <item x="35"/>
        <item x="17"/>
        <item x="101"/>
        <item x="33"/>
        <item x="40"/>
        <item x="95"/>
        <item x="6"/>
        <item x="24"/>
        <item x="51"/>
        <item x="14"/>
        <item x="66"/>
        <item x="4"/>
        <item x="84"/>
        <item x="20"/>
        <item x="37"/>
        <item x="7"/>
        <item x="41"/>
        <item x="63"/>
        <item x="13"/>
        <item x="30"/>
        <item x="28"/>
        <item x="27"/>
        <item x="97"/>
        <item x="8"/>
        <item x="34"/>
        <item x="94"/>
        <item x="68"/>
        <item x="0"/>
        <item x="83"/>
        <item x="69"/>
        <item x="71"/>
        <item x="45"/>
        <item x="72"/>
        <item x="81"/>
        <item x="46"/>
        <item x="36"/>
        <item x="19"/>
        <item x="77"/>
        <item x="60"/>
        <item x="75"/>
        <item x="53"/>
        <item x="73"/>
        <item x="93"/>
        <item x="5"/>
        <item x="89"/>
        <item x="96"/>
        <item x="9"/>
        <item x="21"/>
        <item x="11"/>
        <item x="74"/>
        <item x="56"/>
        <item x="32"/>
        <item x="67"/>
        <item x="1"/>
        <item x="15"/>
        <item x="59"/>
        <item x="57"/>
        <item x="64"/>
        <item x="3"/>
        <item x="42"/>
        <item x="55"/>
        <item x="31"/>
        <item x="47"/>
        <item x="92"/>
        <item x="39"/>
        <item x="65"/>
        <item x="98"/>
        <item x="25"/>
        <item x="79"/>
        <item x="43"/>
        <item x="50"/>
        <item x="49"/>
        <item x="61"/>
        <item x="23"/>
        <item x="62"/>
        <item x="85"/>
        <item x="76"/>
        <item x="91"/>
        <item x="2"/>
        <item x="70"/>
        <item x="10"/>
        <item x="80"/>
        <item x="88"/>
        <item x="90"/>
        <item x="44"/>
        <item x="78"/>
        <item x="26"/>
        <item x="52"/>
        <item x="86"/>
        <item x="54"/>
        <item x="58"/>
        <item t="default"/>
      </items>
    </pivotField>
    <pivotField showAll="0"/>
    <pivotField axis="axisRow" showAll="0" measureFilter="1" sortType="descending">
      <items count="11">
        <item x="8"/>
        <item x="2"/>
        <item x="1"/>
        <item x="4"/>
        <item x="0"/>
        <item x="5"/>
        <item x="9"/>
        <item x="3"/>
        <item x="7"/>
        <item x="6"/>
        <item t="default"/>
      </items>
      <autoSortScope>
        <pivotArea dataOnly="0" outline="0" fieldPosition="0">
          <references count="1">
            <reference field="4294967294" count="1" selected="0">
              <x v="0"/>
            </reference>
          </references>
        </pivotArea>
      </autoSortScope>
    </pivotField>
    <pivotField showAll="0"/>
    <pivotField showAll="0">
      <items count="5">
        <item x="2"/>
        <item x="0"/>
        <item x="1"/>
        <item x="3"/>
        <item t="default"/>
      </items>
    </pivotField>
    <pivotField showAll="0"/>
    <pivotField showAll="0"/>
    <pivotField dataField="1" showAll="0"/>
    <pivotField showAll="0" defaultSubtotal="0">
      <items count="14">
        <item x="0"/>
        <item x="1"/>
        <item x="2"/>
        <item x="3"/>
        <item x="4"/>
        <item x="5"/>
        <item x="6"/>
        <item x="7"/>
        <item x="8"/>
        <item x="9"/>
        <item x="10"/>
        <item x="11"/>
        <item x="12"/>
        <item x="13"/>
      </items>
    </pivotField>
  </pivotFields>
  <rowFields count="1">
    <field x="3"/>
  </rowFields>
  <rowItems count="6">
    <i>
      <x v="3"/>
    </i>
    <i>
      <x v="9"/>
    </i>
    <i>
      <x v="8"/>
    </i>
    <i>
      <x v="4"/>
    </i>
    <i>
      <x v="7"/>
    </i>
    <i t="grand">
      <x/>
    </i>
  </rowItems>
  <colItems count="1">
    <i/>
  </colItems>
  <dataFields count="1">
    <dataField name="Sum of Profit" fld="8" baseField="0" baseItem="0"/>
  </dataFields>
  <chartFormats count="2">
    <chartFormat chart="7"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805DE1B-3E30-45FA-B39C-BCB82CDD7F4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1:G4" firstHeaderRow="0" firstDataRow="1" firstDataCol="1"/>
  <pivotFields count="10">
    <pivotField showAll="0"/>
    <pivotField numFmtId="164" showAll="0">
      <items count="103">
        <item x="48"/>
        <item x="18"/>
        <item x="100"/>
        <item x="22"/>
        <item x="29"/>
        <item x="87"/>
        <item x="99"/>
        <item x="16"/>
        <item x="82"/>
        <item x="12"/>
        <item x="38"/>
        <item x="35"/>
        <item x="17"/>
        <item x="101"/>
        <item x="33"/>
        <item x="40"/>
        <item x="95"/>
        <item x="6"/>
        <item x="24"/>
        <item x="51"/>
        <item x="14"/>
        <item x="66"/>
        <item x="4"/>
        <item x="84"/>
        <item x="20"/>
        <item x="37"/>
        <item x="7"/>
        <item x="41"/>
        <item x="63"/>
        <item x="13"/>
        <item x="30"/>
        <item x="28"/>
        <item x="27"/>
        <item x="97"/>
        <item x="8"/>
        <item x="34"/>
        <item x="94"/>
        <item x="68"/>
        <item x="0"/>
        <item x="83"/>
        <item x="69"/>
        <item x="71"/>
        <item x="45"/>
        <item x="72"/>
        <item x="81"/>
        <item x="46"/>
        <item x="36"/>
        <item x="19"/>
        <item x="77"/>
        <item x="60"/>
        <item x="75"/>
        <item x="53"/>
        <item x="73"/>
        <item x="93"/>
        <item x="5"/>
        <item x="89"/>
        <item x="96"/>
        <item x="9"/>
        <item x="21"/>
        <item x="11"/>
        <item x="74"/>
        <item x="56"/>
        <item x="32"/>
        <item x="67"/>
        <item x="1"/>
        <item x="15"/>
        <item x="59"/>
        <item x="57"/>
        <item x="64"/>
        <item x="3"/>
        <item x="42"/>
        <item x="55"/>
        <item x="31"/>
        <item x="47"/>
        <item x="92"/>
        <item x="39"/>
        <item x="65"/>
        <item x="98"/>
        <item x="25"/>
        <item x="79"/>
        <item x="43"/>
        <item x="50"/>
        <item x="49"/>
        <item x="61"/>
        <item x="23"/>
        <item x="62"/>
        <item x="85"/>
        <item x="76"/>
        <item x="91"/>
        <item x="2"/>
        <item x="70"/>
        <item x="10"/>
        <item x="80"/>
        <item x="88"/>
        <item x="90"/>
        <item x="44"/>
        <item x="78"/>
        <item x="26"/>
        <item x="52"/>
        <item x="86"/>
        <item x="54"/>
        <item x="58"/>
        <item t="default"/>
      </items>
    </pivotField>
    <pivotField showAll="0"/>
    <pivotField showAll="0"/>
    <pivotField axis="axisRow" showAll="0">
      <items count="3">
        <item x="0"/>
        <item x="1"/>
        <item t="default"/>
      </items>
    </pivotField>
    <pivotField showAll="0">
      <items count="5">
        <item x="2"/>
        <item x="0"/>
        <item x="1"/>
        <item x="3"/>
        <item t="default"/>
      </items>
    </pivotField>
    <pivotField showAll="0"/>
    <pivotField dataField="1" showAll="0"/>
    <pivotField dataField="1" showAll="0"/>
    <pivotField showAll="0">
      <items count="15">
        <item x="0"/>
        <item x="1"/>
        <item x="2"/>
        <item x="3"/>
        <item x="4"/>
        <item x="5"/>
        <item x="6"/>
        <item x="7"/>
        <item x="8"/>
        <item x="9"/>
        <item x="10"/>
        <item x="11"/>
        <item x="12"/>
        <item x="13"/>
        <item t="default"/>
      </items>
    </pivotField>
  </pivotFields>
  <rowFields count="1">
    <field x="4"/>
  </rowFields>
  <rowItems count="3">
    <i>
      <x/>
    </i>
    <i>
      <x v="1"/>
    </i>
    <i t="grand">
      <x/>
    </i>
  </rowItems>
  <colFields count="1">
    <field x="-2"/>
  </colFields>
  <colItems count="2">
    <i>
      <x/>
    </i>
    <i i="1">
      <x v="1"/>
    </i>
  </colItems>
  <dataFields count="2">
    <dataField name="Sum of Profit" fld="8" baseField="0" baseItem="0"/>
    <dataField name="Sum of Sales" fld="7" baseField="0" baseItem="0"/>
  </dataField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671758E-BB09-426A-B5D7-C9AD1011376F}" sourceName="Region">
  <pivotTables>
    <pivotTable tabId="6" name="PT1 — Regional Performance"/>
    <pivotTable tabId="6" name="PivotTable1"/>
    <pivotTable tabId="6" name="PivotTable2"/>
    <pivotTable tabId="6" name="PivotTable3"/>
    <pivotTable tabId="6" name="PivotTable4"/>
    <pivotTable tabId="6" name="PivotTable5"/>
    <pivotTable tabId="6" name="PivotTable6"/>
    <pivotTable tabId="6" name="PivotTable7"/>
    <pivotTable tabId="6" name="PivotTable8"/>
  </pivotTables>
  <data>
    <tabular pivotCacheId="559738742">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7D8CA9E-829D-4493-97E6-CD740CFB936A}" cache="Slicer_Region" caption="Region"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990CB-C565-4C31-BEB4-880A31911914}">
  <dimension ref="A1:I123"/>
  <sheetViews>
    <sheetView topLeftCell="A101" workbookViewId="0">
      <selection activeCell="C127" sqref="C127"/>
    </sheetView>
  </sheetViews>
  <sheetFormatPr defaultRowHeight="14.4" x14ac:dyDescent="0.3"/>
  <cols>
    <col min="1" max="1" width="10.21875" customWidth="1"/>
    <col min="2" max="2" width="26.44140625" customWidth="1"/>
    <col min="3" max="3" width="15.109375" customWidth="1"/>
    <col min="4" max="4" width="15.44140625" customWidth="1"/>
    <col min="5" max="5" width="14.109375" customWidth="1"/>
    <col min="6" max="6" width="11.33203125" customWidth="1"/>
    <col min="8" max="8" width="13.109375" customWidth="1"/>
    <col min="9" max="9" width="15.5546875" customWidth="1"/>
  </cols>
  <sheetData>
    <row r="1" spans="1:9" ht="15" thickBot="1" x14ac:dyDescent="0.35">
      <c r="A1" s="1" t="s">
        <v>0</v>
      </c>
      <c r="B1" s="1" t="s">
        <v>1</v>
      </c>
      <c r="C1" s="1" t="s">
        <v>2</v>
      </c>
      <c r="D1" s="1" t="s">
        <v>3</v>
      </c>
      <c r="E1" s="1" t="s">
        <v>4</v>
      </c>
      <c r="F1" s="1" t="s">
        <v>5</v>
      </c>
      <c r="G1" s="1" t="s">
        <v>6</v>
      </c>
      <c r="H1" s="1" t="s">
        <v>7</v>
      </c>
      <c r="I1" s="1" t="s">
        <v>8</v>
      </c>
    </row>
    <row r="2" spans="1:9" x14ac:dyDescent="0.3">
      <c r="A2" s="2" t="s">
        <v>9</v>
      </c>
      <c r="B2" s="3">
        <v>45783</v>
      </c>
      <c r="C2" s="2" t="s">
        <v>129</v>
      </c>
      <c r="D2" s="2" t="s">
        <v>139</v>
      </c>
      <c r="E2" s="2" t="s">
        <v>149</v>
      </c>
      <c r="F2" s="2" t="s">
        <v>152</v>
      </c>
      <c r="G2" s="2">
        <v>2</v>
      </c>
      <c r="H2" s="2">
        <v>32400</v>
      </c>
      <c r="I2" s="2">
        <v>5832</v>
      </c>
    </row>
    <row r="3" spans="1:9" x14ac:dyDescent="0.3">
      <c r="A3" s="2" t="s">
        <v>10</v>
      </c>
      <c r="B3" s="3">
        <v>45874</v>
      </c>
      <c r="C3" s="2" t="s">
        <v>130</v>
      </c>
      <c r="D3" s="2" t="s">
        <v>139</v>
      </c>
      <c r="E3" s="2" t="s">
        <v>149</v>
      </c>
      <c r="F3" s="2" t="s">
        <v>152</v>
      </c>
      <c r="G3" s="2">
        <v>1</v>
      </c>
      <c r="H3" s="2">
        <v>15300</v>
      </c>
      <c r="I3" s="2">
        <v>918</v>
      </c>
    </row>
    <row r="4" spans="1:9" x14ac:dyDescent="0.3">
      <c r="A4" s="2" t="s">
        <v>11</v>
      </c>
      <c r="B4" s="3">
        <v>45966</v>
      </c>
      <c r="C4" s="2" t="s">
        <v>131</v>
      </c>
      <c r="D4" s="2" t="s">
        <v>140</v>
      </c>
      <c r="E4" s="2" t="s">
        <v>149</v>
      </c>
      <c r="F4" s="2" t="s">
        <v>153</v>
      </c>
      <c r="G4" s="2">
        <v>1</v>
      </c>
      <c r="H4" s="2">
        <v>2625</v>
      </c>
      <c r="I4" s="2">
        <v>210</v>
      </c>
    </row>
    <row r="5" spans="1:9" x14ac:dyDescent="0.3">
      <c r="A5" s="2" t="s">
        <v>12</v>
      </c>
      <c r="B5" s="3">
        <v>45887</v>
      </c>
      <c r="C5" s="2" t="s">
        <v>132</v>
      </c>
      <c r="D5" s="2" t="s">
        <v>141</v>
      </c>
      <c r="E5" s="2" t="s">
        <v>150</v>
      </c>
      <c r="F5" s="2" t="s">
        <v>154</v>
      </c>
      <c r="G5" s="2">
        <v>3</v>
      </c>
      <c r="H5" s="2">
        <v>7650</v>
      </c>
      <c r="I5" s="2">
        <v>612</v>
      </c>
    </row>
    <row r="6" spans="1:9" x14ac:dyDescent="0.3">
      <c r="A6" s="2" t="s">
        <v>13</v>
      </c>
      <c r="B6" s="3">
        <v>45737</v>
      </c>
      <c r="C6" s="2" t="s">
        <v>129</v>
      </c>
      <c r="D6" s="2" t="s">
        <v>142</v>
      </c>
      <c r="E6" s="2" t="s">
        <v>150</v>
      </c>
      <c r="F6" s="2" t="s">
        <v>155</v>
      </c>
      <c r="G6" s="2">
        <v>2</v>
      </c>
      <c r="H6" s="2">
        <v>24000</v>
      </c>
      <c r="I6" s="2">
        <v>1440</v>
      </c>
    </row>
    <row r="7" spans="1:9" x14ac:dyDescent="0.3">
      <c r="A7" s="2" t="s">
        <v>14</v>
      </c>
      <c r="B7" s="3">
        <v>45841</v>
      </c>
      <c r="C7" s="2" t="s">
        <v>133</v>
      </c>
      <c r="D7" s="2" t="s">
        <v>139</v>
      </c>
      <c r="E7" s="2" t="s">
        <v>149</v>
      </c>
      <c r="F7" s="2" t="s">
        <v>154</v>
      </c>
      <c r="G7" s="2">
        <v>3</v>
      </c>
      <c r="H7" s="2">
        <v>56700</v>
      </c>
      <c r="I7" s="2">
        <v>5670</v>
      </c>
    </row>
    <row r="8" spans="1:9" x14ac:dyDescent="0.3">
      <c r="A8" s="2" t="s">
        <v>15</v>
      </c>
      <c r="B8" s="3">
        <v>45721</v>
      </c>
      <c r="C8" s="2" t="s">
        <v>131</v>
      </c>
      <c r="D8" s="2" t="s">
        <v>143</v>
      </c>
      <c r="E8" s="2" t="s">
        <v>149</v>
      </c>
      <c r="F8" s="2" t="s">
        <v>154</v>
      </c>
      <c r="G8" s="2">
        <v>4</v>
      </c>
      <c r="H8" s="2">
        <v>204000</v>
      </c>
      <c r="I8" s="2">
        <v>30600</v>
      </c>
    </row>
    <row r="9" spans="1:9" x14ac:dyDescent="0.3">
      <c r="A9" s="2" t="s">
        <v>16</v>
      </c>
      <c r="B9" s="3">
        <v>45756</v>
      </c>
      <c r="C9" s="2" t="s">
        <v>130</v>
      </c>
      <c r="D9" s="2" t="s">
        <v>144</v>
      </c>
      <c r="E9" s="2" t="s">
        <v>149</v>
      </c>
      <c r="F9" s="2" t="s">
        <v>155</v>
      </c>
      <c r="G9" s="2">
        <v>1</v>
      </c>
      <c r="H9" s="2">
        <v>1275</v>
      </c>
      <c r="I9" s="2">
        <v>229.5</v>
      </c>
    </row>
    <row r="10" spans="1:9" x14ac:dyDescent="0.3">
      <c r="A10" s="2" t="s">
        <v>17</v>
      </c>
      <c r="B10" s="3">
        <v>45777</v>
      </c>
      <c r="C10" s="2" t="s">
        <v>133</v>
      </c>
      <c r="D10" s="2" t="s">
        <v>140</v>
      </c>
      <c r="E10" s="2" t="s">
        <v>149</v>
      </c>
      <c r="F10" s="2" t="s">
        <v>155</v>
      </c>
      <c r="G10" s="2">
        <v>1</v>
      </c>
      <c r="H10" s="2">
        <v>2500</v>
      </c>
      <c r="I10" s="2">
        <v>250</v>
      </c>
    </row>
    <row r="11" spans="1:9" x14ac:dyDescent="0.3">
      <c r="A11" s="2" t="s">
        <v>18</v>
      </c>
      <c r="B11" s="3">
        <v>45847</v>
      </c>
      <c r="C11" s="2" t="s">
        <v>134</v>
      </c>
      <c r="D11" s="2" t="s">
        <v>145</v>
      </c>
      <c r="E11" s="2" t="s">
        <v>150</v>
      </c>
      <c r="F11" s="2" t="s">
        <v>155</v>
      </c>
      <c r="G11" s="2">
        <v>3</v>
      </c>
      <c r="H11" s="2">
        <v>67500</v>
      </c>
      <c r="I11" s="2">
        <v>12150</v>
      </c>
    </row>
    <row r="12" spans="1:9" x14ac:dyDescent="0.3">
      <c r="A12" s="2" t="s">
        <v>19</v>
      </c>
      <c r="B12" s="3">
        <v>45983</v>
      </c>
      <c r="C12" s="2" t="s">
        <v>130</v>
      </c>
      <c r="D12" s="2" t="s">
        <v>144</v>
      </c>
      <c r="E12" s="2" t="s">
        <v>149</v>
      </c>
      <c r="F12" s="2" t="s">
        <v>152</v>
      </c>
      <c r="G12" s="2">
        <v>2</v>
      </c>
      <c r="H12" s="2">
        <v>3150</v>
      </c>
      <c r="I12" s="2">
        <v>567</v>
      </c>
    </row>
    <row r="13" spans="1:9" x14ac:dyDescent="0.3">
      <c r="A13" s="2" t="s">
        <v>20</v>
      </c>
      <c r="B13" s="3">
        <v>45852</v>
      </c>
      <c r="C13" s="2" t="s">
        <v>135</v>
      </c>
      <c r="D13" s="2" t="s">
        <v>140</v>
      </c>
      <c r="E13" s="2" t="s">
        <v>149</v>
      </c>
      <c r="F13" s="2" t="s">
        <v>153</v>
      </c>
      <c r="G13" s="2">
        <v>3</v>
      </c>
      <c r="H13" s="2">
        <v>8250</v>
      </c>
      <c r="I13" s="2">
        <v>1485</v>
      </c>
    </row>
    <row r="14" spans="1:9" x14ac:dyDescent="0.3">
      <c r="A14" s="2" t="s">
        <v>21</v>
      </c>
      <c r="B14" s="3">
        <v>45686</v>
      </c>
      <c r="C14" s="2" t="s">
        <v>136</v>
      </c>
      <c r="D14" s="2" t="s">
        <v>141</v>
      </c>
      <c r="E14" s="2" t="s">
        <v>150</v>
      </c>
      <c r="F14" s="2" t="s">
        <v>153</v>
      </c>
      <c r="G14" s="2">
        <v>2</v>
      </c>
      <c r="H14" s="2">
        <v>5100</v>
      </c>
      <c r="I14" s="2">
        <v>510</v>
      </c>
    </row>
    <row r="15" spans="1:9" x14ac:dyDescent="0.3">
      <c r="A15" s="2" t="s">
        <v>22</v>
      </c>
      <c r="B15" s="3">
        <v>45766</v>
      </c>
      <c r="C15" s="2" t="s">
        <v>133</v>
      </c>
      <c r="D15" s="2" t="s">
        <v>142</v>
      </c>
      <c r="E15" s="2" t="s">
        <v>150</v>
      </c>
      <c r="F15" s="2" t="s">
        <v>155</v>
      </c>
      <c r="G15" s="2">
        <v>3</v>
      </c>
      <c r="H15" s="2">
        <v>32400</v>
      </c>
      <c r="I15" s="2">
        <v>5832</v>
      </c>
    </row>
    <row r="16" spans="1:9" x14ac:dyDescent="0.3">
      <c r="A16" s="2" t="s">
        <v>23</v>
      </c>
      <c r="B16" s="3">
        <v>45731</v>
      </c>
      <c r="C16" s="2" t="s">
        <v>135</v>
      </c>
      <c r="D16" s="2" t="s">
        <v>145</v>
      </c>
      <c r="E16" s="2" t="s">
        <v>150</v>
      </c>
      <c r="F16" s="2" t="s">
        <v>154</v>
      </c>
      <c r="G16" s="2">
        <v>3</v>
      </c>
      <c r="H16" s="2">
        <v>67500</v>
      </c>
      <c r="I16" s="2">
        <v>5400</v>
      </c>
    </row>
    <row r="17" spans="1:9" x14ac:dyDescent="0.3">
      <c r="A17" s="2" t="s">
        <v>24</v>
      </c>
      <c r="B17" s="3">
        <v>45877</v>
      </c>
      <c r="C17" s="2" t="s">
        <v>130</v>
      </c>
      <c r="D17" s="2" t="s">
        <v>141</v>
      </c>
      <c r="E17" s="2" t="s">
        <v>150</v>
      </c>
      <c r="F17" s="2" t="s">
        <v>155</v>
      </c>
      <c r="G17" s="2">
        <v>4</v>
      </c>
      <c r="H17" s="2">
        <v>12000</v>
      </c>
      <c r="I17" s="2">
        <v>960</v>
      </c>
    </row>
    <row r="18" spans="1:9" x14ac:dyDescent="0.3">
      <c r="A18" s="2" t="s">
        <v>25</v>
      </c>
      <c r="B18" s="3">
        <v>45682</v>
      </c>
      <c r="C18" s="2" t="s">
        <v>133</v>
      </c>
      <c r="D18" s="2" t="s">
        <v>146</v>
      </c>
      <c r="E18" s="2" t="s">
        <v>149</v>
      </c>
      <c r="F18" s="2" t="s">
        <v>154</v>
      </c>
      <c r="G18" s="2">
        <v>1</v>
      </c>
      <c r="H18" s="2">
        <v>27000</v>
      </c>
      <c r="I18" s="2">
        <v>4860</v>
      </c>
    </row>
    <row r="19" spans="1:9" x14ac:dyDescent="0.3">
      <c r="A19" s="2" t="s">
        <v>26</v>
      </c>
      <c r="B19" s="3">
        <v>45690</v>
      </c>
      <c r="C19" s="2" t="s">
        <v>130</v>
      </c>
      <c r="D19" s="2" t="s">
        <v>146</v>
      </c>
      <c r="E19" s="2" t="s">
        <v>149</v>
      </c>
      <c r="F19" s="2" t="s">
        <v>154</v>
      </c>
      <c r="G19" s="2">
        <v>4</v>
      </c>
      <c r="H19" s="2">
        <v>120000</v>
      </c>
      <c r="I19" s="2">
        <v>18000</v>
      </c>
    </row>
    <row r="20" spans="1:9" x14ac:dyDescent="0.3">
      <c r="A20" s="2" t="s">
        <v>27</v>
      </c>
      <c r="B20" s="3">
        <v>45663</v>
      </c>
      <c r="C20" s="2" t="s">
        <v>131</v>
      </c>
      <c r="D20" s="2" t="s">
        <v>145</v>
      </c>
      <c r="E20" s="2" t="s">
        <v>150</v>
      </c>
      <c r="F20" s="2" t="s">
        <v>156</v>
      </c>
      <c r="G20" s="2">
        <v>1</v>
      </c>
      <c r="H20" s="2">
        <v>27500</v>
      </c>
      <c r="I20" s="2">
        <v>4125</v>
      </c>
    </row>
    <row r="21" spans="1:9" x14ac:dyDescent="0.3">
      <c r="A21" s="2" t="s">
        <v>28</v>
      </c>
      <c r="B21" s="3">
        <v>45808</v>
      </c>
      <c r="C21" s="2" t="s">
        <v>133</v>
      </c>
      <c r="D21" s="2" t="s">
        <v>144</v>
      </c>
      <c r="E21" s="2" t="s">
        <v>149</v>
      </c>
      <c r="F21" s="2" t="s">
        <v>155</v>
      </c>
      <c r="G21" s="2">
        <v>4</v>
      </c>
      <c r="H21" s="2">
        <v>5400</v>
      </c>
      <c r="I21" s="2">
        <v>648</v>
      </c>
    </row>
    <row r="22" spans="1:9" x14ac:dyDescent="0.3">
      <c r="A22" s="2" t="s">
        <v>29</v>
      </c>
      <c r="B22" s="3">
        <v>45749</v>
      </c>
      <c r="C22" s="2" t="s">
        <v>131</v>
      </c>
      <c r="D22" s="2" t="s">
        <v>143</v>
      </c>
      <c r="E22" s="2" t="s">
        <v>149</v>
      </c>
      <c r="F22" s="2" t="s">
        <v>155</v>
      </c>
      <c r="G22" s="2">
        <v>1</v>
      </c>
      <c r="H22" s="2">
        <v>66000</v>
      </c>
      <c r="I22" s="2">
        <v>6600</v>
      </c>
    </row>
    <row r="23" spans="1:9" x14ac:dyDescent="0.3">
      <c r="A23" s="2" t="s">
        <v>30</v>
      </c>
      <c r="B23" s="3">
        <v>45849</v>
      </c>
      <c r="C23" s="2" t="s">
        <v>134</v>
      </c>
      <c r="D23" s="2" t="s">
        <v>141</v>
      </c>
      <c r="E23" s="2" t="s">
        <v>150</v>
      </c>
      <c r="F23" s="2" t="s">
        <v>153</v>
      </c>
      <c r="G23" s="2">
        <v>2</v>
      </c>
      <c r="H23" s="2">
        <v>6300</v>
      </c>
      <c r="I23" s="2">
        <v>945</v>
      </c>
    </row>
    <row r="24" spans="1:9" x14ac:dyDescent="0.3">
      <c r="A24" s="2" t="s">
        <v>31</v>
      </c>
      <c r="B24" s="3">
        <v>45667</v>
      </c>
      <c r="C24" s="2" t="s">
        <v>135</v>
      </c>
      <c r="D24" s="2" t="s">
        <v>143</v>
      </c>
      <c r="E24" s="2" t="s">
        <v>149</v>
      </c>
      <c r="F24" s="2" t="s">
        <v>155</v>
      </c>
      <c r="G24" s="2">
        <v>1</v>
      </c>
      <c r="H24" s="2">
        <v>60000</v>
      </c>
      <c r="I24" s="2">
        <v>6000</v>
      </c>
    </row>
    <row r="25" spans="1:9" x14ac:dyDescent="0.3">
      <c r="A25" s="2" t="s">
        <v>32</v>
      </c>
      <c r="B25" s="3">
        <v>45948</v>
      </c>
      <c r="C25" s="2" t="s">
        <v>132</v>
      </c>
      <c r="D25" s="2" t="s">
        <v>140</v>
      </c>
      <c r="E25" s="2" t="s">
        <v>149</v>
      </c>
      <c r="F25" s="2" t="s">
        <v>152</v>
      </c>
      <c r="G25" s="2">
        <v>1</v>
      </c>
      <c r="H25" s="2">
        <v>2125</v>
      </c>
      <c r="I25" s="2">
        <v>382.5</v>
      </c>
    </row>
    <row r="26" spans="1:9" x14ac:dyDescent="0.3">
      <c r="A26" s="2" t="s">
        <v>33</v>
      </c>
      <c r="B26" s="3">
        <v>45722</v>
      </c>
      <c r="C26" s="2" t="s">
        <v>131</v>
      </c>
      <c r="D26" s="2" t="s">
        <v>145</v>
      </c>
      <c r="E26" s="2" t="s">
        <v>150</v>
      </c>
      <c r="F26" s="2" t="s">
        <v>152</v>
      </c>
      <c r="G26" s="2">
        <v>2</v>
      </c>
      <c r="H26" s="2">
        <v>55000</v>
      </c>
      <c r="I26" s="2">
        <v>6600</v>
      </c>
    </row>
    <row r="27" spans="1:9" x14ac:dyDescent="0.3">
      <c r="A27" s="2" t="s">
        <v>34</v>
      </c>
      <c r="B27" s="3">
        <v>45928</v>
      </c>
      <c r="C27" s="2" t="s">
        <v>129</v>
      </c>
      <c r="D27" s="2" t="s">
        <v>141</v>
      </c>
      <c r="E27" s="2" t="s">
        <v>150</v>
      </c>
      <c r="F27" s="2" t="s">
        <v>153</v>
      </c>
      <c r="G27" s="2">
        <v>4</v>
      </c>
      <c r="H27" s="2">
        <v>10800</v>
      </c>
      <c r="I27" s="2">
        <v>1620</v>
      </c>
    </row>
    <row r="28" spans="1:9" x14ac:dyDescent="0.3">
      <c r="A28" s="2" t="s">
        <v>35</v>
      </c>
      <c r="B28" s="3">
        <v>46001</v>
      </c>
      <c r="C28" s="2" t="s">
        <v>137</v>
      </c>
      <c r="D28" s="2" t="s">
        <v>140</v>
      </c>
      <c r="E28" s="2" t="s">
        <v>149</v>
      </c>
      <c r="F28" s="2" t="s">
        <v>155</v>
      </c>
      <c r="G28" s="2">
        <v>3</v>
      </c>
      <c r="H28" s="2">
        <v>7500</v>
      </c>
      <c r="I28" s="2">
        <v>1125</v>
      </c>
    </row>
    <row r="29" spans="1:9" x14ac:dyDescent="0.3">
      <c r="A29" s="2" t="s">
        <v>36</v>
      </c>
      <c r="B29" s="3">
        <v>45773</v>
      </c>
      <c r="C29" s="2" t="s">
        <v>132</v>
      </c>
      <c r="D29" s="2" t="s">
        <v>145</v>
      </c>
      <c r="E29" s="2" t="s">
        <v>150</v>
      </c>
      <c r="F29" s="2" t="s">
        <v>152</v>
      </c>
      <c r="G29" s="2">
        <v>1</v>
      </c>
      <c r="H29" s="2">
        <v>25000</v>
      </c>
      <c r="I29" s="2">
        <v>1500</v>
      </c>
    </row>
    <row r="30" spans="1:9" x14ac:dyDescent="0.3">
      <c r="A30" s="2" t="s">
        <v>37</v>
      </c>
      <c r="B30" s="3">
        <v>45770</v>
      </c>
      <c r="C30" s="2" t="s">
        <v>130</v>
      </c>
      <c r="D30" s="2" t="s">
        <v>147</v>
      </c>
      <c r="E30" s="2" t="s">
        <v>150</v>
      </c>
      <c r="F30" s="2" t="s">
        <v>153</v>
      </c>
      <c r="G30" s="2">
        <v>1</v>
      </c>
      <c r="H30" s="2">
        <v>7650</v>
      </c>
      <c r="I30" s="2">
        <v>1377</v>
      </c>
    </row>
    <row r="31" spans="1:9" x14ac:dyDescent="0.3">
      <c r="A31" s="2" t="s">
        <v>38</v>
      </c>
      <c r="B31" s="3">
        <v>45674</v>
      </c>
      <c r="C31" s="2" t="s">
        <v>133</v>
      </c>
      <c r="D31" s="2" t="s">
        <v>143</v>
      </c>
      <c r="E31" s="2" t="s">
        <v>149</v>
      </c>
      <c r="F31" s="2" t="s">
        <v>153</v>
      </c>
      <c r="G31" s="2">
        <v>3</v>
      </c>
      <c r="H31" s="2">
        <v>153000</v>
      </c>
      <c r="I31" s="2">
        <v>22950</v>
      </c>
    </row>
    <row r="32" spans="1:9" x14ac:dyDescent="0.3">
      <c r="A32" s="2" t="s">
        <v>39</v>
      </c>
      <c r="B32" s="3">
        <v>45767</v>
      </c>
      <c r="C32" s="2" t="s">
        <v>135</v>
      </c>
      <c r="D32" s="2" t="s">
        <v>140</v>
      </c>
      <c r="E32" s="2" t="s">
        <v>149</v>
      </c>
      <c r="F32" s="2" t="s">
        <v>155</v>
      </c>
      <c r="G32" s="2">
        <v>2</v>
      </c>
      <c r="H32" s="2">
        <v>5500</v>
      </c>
      <c r="I32" s="2">
        <v>825</v>
      </c>
    </row>
    <row r="33" spans="1:9" x14ac:dyDescent="0.3">
      <c r="A33" s="2" t="s">
        <v>40</v>
      </c>
      <c r="B33" s="3">
        <v>45900</v>
      </c>
      <c r="C33" s="2" t="s">
        <v>132</v>
      </c>
      <c r="D33" s="2" t="s">
        <v>147</v>
      </c>
      <c r="E33" s="2" t="s">
        <v>151</v>
      </c>
      <c r="F33" s="2" t="s">
        <v>154</v>
      </c>
      <c r="G33" s="2">
        <v>4</v>
      </c>
      <c r="H33" s="2">
        <v>32400</v>
      </c>
      <c r="I33" s="2">
        <v>1944</v>
      </c>
    </row>
    <row r="34" spans="1:9" x14ac:dyDescent="0.3">
      <c r="A34" s="2" t="s">
        <v>41</v>
      </c>
      <c r="B34" s="3">
        <v>45874</v>
      </c>
      <c r="C34" s="2" t="s">
        <v>136</v>
      </c>
      <c r="D34" s="2" t="s">
        <v>139</v>
      </c>
      <c r="E34" s="2" t="s">
        <v>149</v>
      </c>
      <c r="F34" s="2" t="s">
        <v>154</v>
      </c>
      <c r="G34" s="2">
        <v>4</v>
      </c>
      <c r="H34" s="2">
        <v>72000</v>
      </c>
      <c r="I34" s="2">
        <v>12960</v>
      </c>
    </row>
    <row r="35" spans="1:9" x14ac:dyDescent="0.3">
      <c r="A35" s="2" t="s">
        <v>42</v>
      </c>
      <c r="B35" s="3">
        <v>45864</v>
      </c>
      <c r="C35" s="2" t="s">
        <v>138</v>
      </c>
      <c r="D35" s="2" t="s">
        <v>143</v>
      </c>
      <c r="E35" s="2" t="s">
        <v>149</v>
      </c>
      <c r="F35" s="2" t="s">
        <v>152</v>
      </c>
      <c r="G35" s="2">
        <v>3</v>
      </c>
      <c r="H35" s="2">
        <v>153000</v>
      </c>
      <c r="I35" s="2">
        <v>12240</v>
      </c>
    </row>
    <row r="36" spans="1:9" x14ac:dyDescent="0.3">
      <c r="A36" s="2" t="s">
        <v>43</v>
      </c>
      <c r="B36" s="3">
        <v>45887</v>
      </c>
      <c r="C36" s="2" t="s">
        <v>131</v>
      </c>
      <c r="D36" s="2" t="s">
        <v>140</v>
      </c>
      <c r="E36" s="2" t="s">
        <v>149</v>
      </c>
      <c r="F36" s="2" t="s">
        <v>153</v>
      </c>
      <c r="G36" s="2">
        <v>2</v>
      </c>
      <c r="H36" s="2">
        <v>5000</v>
      </c>
      <c r="I36" s="2">
        <v>400</v>
      </c>
    </row>
    <row r="37" spans="1:9" x14ac:dyDescent="0.3">
      <c r="A37" s="2" t="s">
        <v>44</v>
      </c>
      <c r="B37" s="3">
        <v>45696</v>
      </c>
      <c r="C37" s="2" t="s">
        <v>132</v>
      </c>
      <c r="D37" s="2" t="s">
        <v>144</v>
      </c>
      <c r="E37" s="2" t="s">
        <v>149</v>
      </c>
      <c r="F37" s="2" t="s">
        <v>154</v>
      </c>
      <c r="G37" s="2">
        <v>4</v>
      </c>
      <c r="H37" s="2">
        <v>6300</v>
      </c>
      <c r="I37" s="2">
        <v>378</v>
      </c>
    </row>
    <row r="38" spans="1:9" x14ac:dyDescent="0.3">
      <c r="A38" s="2" t="s">
        <v>45</v>
      </c>
      <c r="B38" s="3">
        <v>45779</v>
      </c>
      <c r="C38" s="2" t="s">
        <v>133</v>
      </c>
      <c r="D38" s="2" t="s">
        <v>143</v>
      </c>
      <c r="E38" s="2" t="s">
        <v>149</v>
      </c>
      <c r="F38" s="2" t="s">
        <v>152</v>
      </c>
      <c r="G38" s="2">
        <v>2</v>
      </c>
      <c r="H38" s="2">
        <v>120000</v>
      </c>
      <c r="I38" s="2">
        <v>14400</v>
      </c>
    </row>
    <row r="39" spans="1:9" x14ac:dyDescent="0.3">
      <c r="A39" s="2" t="s">
        <v>46</v>
      </c>
      <c r="B39" s="3">
        <v>45688</v>
      </c>
      <c r="C39" s="2" t="s">
        <v>137</v>
      </c>
      <c r="D39" s="2" t="s">
        <v>145</v>
      </c>
      <c r="E39" s="2" t="s">
        <v>150</v>
      </c>
      <c r="F39" s="2" t="s">
        <v>153</v>
      </c>
      <c r="G39" s="2">
        <v>2</v>
      </c>
      <c r="H39" s="2">
        <v>50000</v>
      </c>
      <c r="I39" s="2">
        <v>3000</v>
      </c>
    </row>
    <row r="40" spans="1:9" x14ac:dyDescent="0.3">
      <c r="A40" s="2" t="s">
        <v>47</v>
      </c>
      <c r="B40" s="3">
        <v>45804</v>
      </c>
      <c r="C40" s="2" t="s">
        <v>135</v>
      </c>
      <c r="D40" s="2" t="s">
        <v>142</v>
      </c>
      <c r="E40" s="2" t="s">
        <v>150</v>
      </c>
      <c r="F40" s="2" t="s">
        <v>155</v>
      </c>
      <c r="G40" s="2">
        <v>4</v>
      </c>
      <c r="H40" s="2">
        <v>52800</v>
      </c>
      <c r="I40" s="2">
        <v>9504</v>
      </c>
    </row>
    <row r="41" spans="1:9" x14ac:dyDescent="0.3">
      <c r="A41" s="2" t="s">
        <v>48</v>
      </c>
      <c r="B41" s="3">
        <v>45755</v>
      </c>
      <c r="C41" s="2" t="s">
        <v>134</v>
      </c>
      <c r="D41" s="2" t="s">
        <v>141</v>
      </c>
      <c r="E41" s="2" t="s">
        <v>150</v>
      </c>
      <c r="F41" s="2" t="s">
        <v>154</v>
      </c>
      <c r="G41" s="2">
        <v>3</v>
      </c>
      <c r="H41" s="2">
        <v>8100</v>
      </c>
      <c r="I41" s="2">
        <v>486</v>
      </c>
    </row>
    <row r="42" spans="1:9" x14ac:dyDescent="0.3">
      <c r="A42" s="2" t="s">
        <v>49</v>
      </c>
      <c r="B42" s="3">
        <v>45687</v>
      </c>
      <c r="C42" s="2" t="s">
        <v>136</v>
      </c>
      <c r="D42" s="2" t="s">
        <v>147</v>
      </c>
      <c r="E42" s="2" t="s">
        <v>150</v>
      </c>
      <c r="F42" s="2" t="s">
        <v>152</v>
      </c>
      <c r="G42" s="2">
        <v>1</v>
      </c>
      <c r="H42" s="2">
        <v>9450</v>
      </c>
      <c r="I42" s="2">
        <v>1134</v>
      </c>
    </row>
    <row r="43" spans="1:9" x14ac:dyDescent="0.3">
      <c r="A43" s="2" t="s">
        <v>50</v>
      </c>
      <c r="B43" s="3">
        <v>45918</v>
      </c>
      <c r="C43" s="2" t="s">
        <v>138</v>
      </c>
      <c r="D43" s="2" t="s">
        <v>141</v>
      </c>
      <c r="E43" s="2" t="s">
        <v>150</v>
      </c>
      <c r="F43" s="2" t="s">
        <v>153</v>
      </c>
      <c r="G43" s="2">
        <v>1</v>
      </c>
      <c r="H43" s="2">
        <v>2700</v>
      </c>
      <c r="I43" s="2">
        <v>162</v>
      </c>
    </row>
    <row r="44" spans="1:9" x14ac:dyDescent="0.3">
      <c r="A44" s="2" t="s">
        <v>51</v>
      </c>
      <c r="B44" s="3">
        <v>45864</v>
      </c>
      <c r="C44" s="2" t="s">
        <v>132</v>
      </c>
      <c r="D44" s="2" t="s">
        <v>147</v>
      </c>
      <c r="E44" s="2" t="s">
        <v>150</v>
      </c>
      <c r="F44" s="2" t="s">
        <v>152</v>
      </c>
      <c r="G44" s="2">
        <v>1</v>
      </c>
      <c r="H44" s="2">
        <v>9450</v>
      </c>
      <c r="I44" s="2">
        <v>756</v>
      </c>
    </row>
    <row r="45" spans="1:9" x14ac:dyDescent="0.3">
      <c r="A45" s="2" t="s">
        <v>52</v>
      </c>
      <c r="B45" s="3">
        <v>45699</v>
      </c>
      <c r="C45" s="2" t="s">
        <v>130</v>
      </c>
      <c r="D45" s="2" t="s">
        <v>147</v>
      </c>
      <c r="E45" s="2" t="s">
        <v>150</v>
      </c>
      <c r="F45" s="2" t="s">
        <v>152</v>
      </c>
      <c r="G45" s="2">
        <v>4</v>
      </c>
      <c r="H45" s="2">
        <v>39600</v>
      </c>
      <c r="I45" s="2">
        <v>5940</v>
      </c>
    </row>
    <row r="46" spans="1:9" x14ac:dyDescent="0.3">
      <c r="A46" s="2" t="s">
        <v>53</v>
      </c>
      <c r="B46" s="3">
        <v>45762</v>
      </c>
      <c r="C46" s="2" t="s">
        <v>129</v>
      </c>
      <c r="D46" s="2" t="s">
        <v>147</v>
      </c>
      <c r="E46" s="2" t="s">
        <v>150</v>
      </c>
      <c r="F46" s="2" t="s">
        <v>155</v>
      </c>
      <c r="G46" s="2">
        <v>3</v>
      </c>
      <c r="H46" s="2">
        <v>24300</v>
      </c>
      <c r="I46" s="2">
        <v>2430</v>
      </c>
    </row>
    <row r="47" spans="1:9" x14ac:dyDescent="0.3">
      <c r="A47" s="2" t="s">
        <v>54</v>
      </c>
      <c r="B47" s="3">
        <v>45892</v>
      </c>
      <c r="C47" s="2" t="s">
        <v>129</v>
      </c>
      <c r="D47" s="2" t="s">
        <v>142</v>
      </c>
      <c r="E47" s="2" t="s">
        <v>150</v>
      </c>
      <c r="F47" s="2" t="s">
        <v>153</v>
      </c>
      <c r="G47" s="2">
        <v>3</v>
      </c>
      <c r="H47" s="2"/>
      <c r="I47" s="2">
        <v>1836</v>
      </c>
    </row>
    <row r="48" spans="1:9" x14ac:dyDescent="0.3">
      <c r="A48" s="2" t="s">
        <v>55</v>
      </c>
      <c r="B48" s="3">
        <v>45933</v>
      </c>
      <c r="C48" s="2" t="s">
        <v>133</v>
      </c>
      <c r="D48" s="2" t="s">
        <v>145</v>
      </c>
      <c r="E48" s="2" t="s">
        <v>150</v>
      </c>
      <c r="F48" s="2" t="s">
        <v>152</v>
      </c>
      <c r="G48" s="2">
        <v>2</v>
      </c>
      <c r="H48" s="2">
        <v>52500</v>
      </c>
      <c r="I48" s="2">
        <v>5250</v>
      </c>
    </row>
    <row r="49" spans="1:9" x14ac:dyDescent="0.3">
      <c r="A49" s="2" t="s">
        <v>56</v>
      </c>
      <c r="B49" s="3">
        <v>45783</v>
      </c>
      <c r="C49" s="2" t="s">
        <v>133</v>
      </c>
      <c r="D49" s="2" t="s">
        <v>146</v>
      </c>
      <c r="E49" s="2" t="s">
        <v>149</v>
      </c>
      <c r="F49" s="2" t="s">
        <v>155</v>
      </c>
      <c r="G49" s="2">
        <v>3</v>
      </c>
      <c r="H49" s="2">
        <v>90000</v>
      </c>
      <c r="I49" s="2">
        <v>7200</v>
      </c>
    </row>
    <row r="50" spans="1:9" x14ac:dyDescent="0.3">
      <c r="A50" s="2" t="s">
        <v>57</v>
      </c>
      <c r="B50" s="3">
        <v>45992</v>
      </c>
      <c r="C50" s="2" t="s">
        <v>130</v>
      </c>
      <c r="D50" s="2" t="s">
        <v>145</v>
      </c>
      <c r="E50" s="2" t="s">
        <v>150</v>
      </c>
      <c r="F50" s="2" t="s">
        <v>155</v>
      </c>
      <c r="G50" s="2">
        <v>1</v>
      </c>
      <c r="H50" s="2">
        <v>27500</v>
      </c>
      <c r="I50" s="2">
        <v>4125</v>
      </c>
    </row>
    <row r="51" spans="1:9" x14ac:dyDescent="0.3">
      <c r="A51" s="2" t="s">
        <v>58</v>
      </c>
      <c r="B51" s="3">
        <v>45793</v>
      </c>
      <c r="C51" s="2" t="s">
        <v>134</v>
      </c>
      <c r="D51" s="2" t="s">
        <v>144</v>
      </c>
      <c r="E51" s="2" t="s">
        <v>149</v>
      </c>
      <c r="F51" s="2" t="s">
        <v>152</v>
      </c>
      <c r="G51" s="2">
        <v>1</v>
      </c>
      <c r="H51" s="2">
        <v>1275</v>
      </c>
      <c r="I51" s="2">
        <v>229.5</v>
      </c>
    </row>
    <row r="52" spans="1:9" x14ac:dyDescent="0.3">
      <c r="A52" s="2" t="s">
        <v>59</v>
      </c>
      <c r="B52" s="3">
        <v>45802</v>
      </c>
      <c r="C52" s="2" t="s">
        <v>129</v>
      </c>
      <c r="D52" s="2" t="s">
        <v>141</v>
      </c>
      <c r="E52" s="2" t="s">
        <v>150</v>
      </c>
      <c r="F52" s="2" t="s">
        <v>153</v>
      </c>
      <c r="G52" s="2">
        <v>2</v>
      </c>
      <c r="H52" s="2">
        <v>6600</v>
      </c>
      <c r="I52" s="2">
        <v>660</v>
      </c>
    </row>
    <row r="53" spans="1:9" x14ac:dyDescent="0.3">
      <c r="A53" s="2" t="s">
        <v>60</v>
      </c>
      <c r="B53" s="3">
        <v>45908</v>
      </c>
      <c r="C53" s="2" t="s">
        <v>131</v>
      </c>
      <c r="D53" s="2" t="s">
        <v>140</v>
      </c>
      <c r="E53" s="2" t="s">
        <v>149</v>
      </c>
      <c r="F53" s="2" t="s">
        <v>155</v>
      </c>
      <c r="G53" s="2">
        <v>3</v>
      </c>
      <c r="H53" s="2">
        <v>6375</v>
      </c>
      <c r="I53" s="2">
        <v>382.5</v>
      </c>
    </row>
    <row r="54" spans="1:9" x14ac:dyDescent="0.3">
      <c r="A54" s="2" t="s">
        <v>61</v>
      </c>
      <c r="B54" s="3">
        <v>45659</v>
      </c>
      <c r="C54" s="2" t="s">
        <v>138</v>
      </c>
      <c r="D54" s="2" t="s">
        <v>142</v>
      </c>
      <c r="E54" s="2" t="s">
        <v>150</v>
      </c>
      <c r="F54" s="2" t="s">
        <v>155</v>
      </c>
      <c r="G54" s="2">
        <v>3</v>
      </c>
      <c r="H54" s="2">
        <v>32400</v>
      </c>
      <c r="I54" s="2"/>
    </row>
    <row r="55" spans="1:9" x14ac:dyDescent="0.3">
      <c r="A55" s="2" t="s">
        <v>62</v>
      </c>
      <c r="B55" s="3">
        <v>45940</v>
      </c>
      <c r="C55" s="2" t="s">
        <v>135</v>
      </c>
      <c r="D55" s="2" t="s">
        <v>144</v>
      </c>
      <c r="E55" s="2" t="s">
        <v>149</v>
      </c>
      <c r="F55" s="2" t="s">
        <v>153</v>
      </c>
      <c r="G55" s="2">
        <v>4</v>
      </c>
      <c r="H55" s="2">
        <v>6300</v>
      </c>
      <c r="I55" s="2">
        <v>378</v>
      </c>
    </row>
    <row r="56" spans="1:9" x14ac:dyDescent="0.3">
      <c r="A56" s="2" t="s">
        <v>63</v>
      </c>
      <c r="B56" s="3">
        <v>45937</v>
      </c>
      <c r="C56" s="2" t="s">
        <v>134</v>
      </c>
      <c r="D56" s="2" t="s">
        <v>139</v>
      </c>
      <c r="E56" s="2" t="s">
        <v>149</v>
      </c>
      <c r="F56" s="2" t="s">
        <v>152</v>
      </c>
      <c r="G56" s="2">
        <v>1</v>
      </c>
      <c r="H56" s="2">
        <v>18000</v>
      </c>
      <c r="I56" s="2">
        <v>2700</v>
      </c>
    </row>
    <row r="57" spans="1:9" x14ac:dyDescent="0.3">
      <c r="A57" s="2" t="s">
        <v>64</v>
      </c>
      <c r="B57" s="3">
        <v>45723</v>
      </c>
      <c r="C57" s="2" t="s">
        <v>137</v>
      </c>
      <c r="D57" s="2" t="s">
        <v>141</v>
      </c>
      <c r="E57" s="2" t="s">
        <v>150</v>
      </c>
      <c r="F57" s="2" t="s">
        <v>153</v>
      </c>
      <c r="G57" s="2">
        <v>1</v>
      </c>
      <c r="H57" s="2">
        <v>3000</v>
      </c>
      <c r="I57" s="2">
        <v>300</v>
      </c>
    </row>
    <row r="58" spans="1:9" x14ac:dyDescent="0.3">
      <c r="A58" s="2" t="s">
        <v>65</v>
      </c>
      <c r="B58" s="3">
        <v>46007</v>
      </c>
      <c r="C58" s="2" t="s">
        <v>132</v>
      </c>
      <c r="D58" s="2" t="s">
        <v>143</v>
      </c>
      <c r="E58" s="2" t="s">
        <v>149</v>
      </c>
      <c r="F58" s="2" t="s">
        <v>155</v>
      </c>
      <c r="G58" s="2">
        <v>2</v>
      </c>
      <c r="H58" s="2">
        <v>132000</v>
      </c>
      <c r="I58" s="2">
        <v>7920</v>
      </c>
    </row>
    <row r="59" spans="1:9" x14ac:dyDescent="0.3">
      <c r="A59" s="2" t="s">
        <v>66</v>
      </c>
      <c r="B59" s="3">
        <v>45737</v>
      </c>
      <c r="C59" s="2" t="s">
        <v>130</v>
      </c>
      <c r="D59" s="2" t="s">
        <v>148</v>
      </c>
      <c r="E59" s="2" t="s">
        <v>150</v>
      </c>
      <c r="F59" s="2" t="s">
        <v>154</v>
      </c>
      <c r="G59" s="2">
        <v>2</v>
      </c>
      <c r="H59" s="2">
        <v>14400</v>
      </c>
      <c r="I59" s="2">
        <v>1152</v>
      </c>
    </row>
    <row r="60" spans="1:9" x14ac:dyDescent="0.3">
      <c r="A60" s="2" t="s">
        <v>67</v>
      </c>
      <c r="B60" s="3">
        <v>45828</v>
      </c>
      <c r="C60" s="2" t="s">
        <v>134</v>
      </c>
      <c r="D60" s="2" t="s">
        <v>142</v>
      </c>
      <c r="E60" s="2" t="s">
        <v>150</v>
      </c>
      <c r="F60" s="2" t="s">
        <v>152</v>
      </c>
      <c r="G60" s="2">
        <v>4</v>
      </c>
      <c r="H60" s="2">
        <v>52800</v>
      </c>
      <c r="I60" s="2">
        <v>9504</v>
      </c>
    </row>
    <row r="61" spans="1:9" x14ac:dyDescent="0.3">
      <c r="A61" s="2" t="s">
        <v>68</v>
      </c>
      <c r="B61" s="3">
        <v>46017</v>
      </c>
      <c r="C61" s="2" t="s">
        <v>134</v>
      </c>
      <c r="D61" s="2" t="s">
        <v>140</v>
      </c>
      <c r="E61" s="2" t="s">
        <v>149</v>
      </c>
      <c r="F61" s="2" t="s">
        <v>155</v>
      </c>
      <c r="G61" s="2">
        <v>1</v>
      </c>
      <c r="H61" s="2">
        <v>2500</v>
      </c>
      <c r="I61" s="2">
        <v>150</v>
      </c>
    </row>
    <row r="62" spans="1:9" x14ac:dyDescent="0.3">
      <c r="A62" s="2" t="s">
        <v>69</v>
      </c>
      <c r="B62" s="3">
        <v>45893</v>
      </c>
      <c r="C62" s="2" t="s">
        <v>132</v>
      </c>
      <c r="D62" s="2" t="s">
        <v>145</v>
      </c>
      <c r="E62" s="2" t="s">
        <v>150</v>
      </c>
      <c r="F62" s="2" t="s">
        <v>153</v>
      </c>
      <c r="G62" s="2">
        <v>3</v>
      </c>
      <c r="H62" s="2">
        <v>75000</v>
      </c>
      <c r="I62" s="2">
        <v>6000</v>
      </c>
    </row>
    <row r="63" spans="1:9" x14ac:dyDescent="0.3">
      <c r="A63" s="2" t="s">
        <v>70</v>
      </c>
      <c r="B63" s="3">
        <v>45862</v>
      </c>
      <c r="C63" s="2" t="s">
        <v>132</v>
      </c>
      <c r="D63" s="2" t="s">
        <v>140</v>
      </c>
      <c r="E63" s="2" t="s">
        <v>149</v>
      </c>
      <c r="F63" s="2" t="s">
        <v>152</v>
      </c>
      <c r="G63" s="2">
        <v>3</v>
      </c>
      <c r="H63" s="2">
        <v>7500</v>
      </c>
      <c r="I63" s="2">
        <v>450</v>
      </c>
    </row>
    <row r="64" spans="1:9" x14ac:dyDescent="0.3">
      <c r="A64" s="2" t="s">
        <v>71</v>
      </c>
      <c r="B64" s="3">
        <v>45862</v>
      </c>
      <c r="C64" s="2" t="s">
        <v>131</v>
      </c>
      <c r="D64" s="2" t="s">
        <v>144</v>
      </c>
      <c r="E64" s="2" t="s">
        <v>149</v>
      </c>
      <c r="F64" s="2" t="s">
        <v>155</v>
      </c>
      <c r="G64" s="2">
        <v>3</v>
      </c>
      <c r="H64" s="2">
        <v>3825</v>
      </c>
      <c r="I64" s="2">
        <v>229.5</v>
      </c>
    </row>
    <row r="65" spans="1:9" x14ac:dyDescent="0.3">
      <c r="A65" s="2" t="s">
        <v>72</v>
      </c>
      <c r="B65" s="3">
        <v>45793</v>
      </c>
      <c r="C65" s="2" t="s">
        <v>130</v>
      </c>
      <c r="D65" s="2" t="s">
        <v>144</v>
      </c>
      <c r="E65" s="2" t="s">
        <v>149</v>
      </c>
      <c r="F65" s="2" t="s">
        <v>153</v>
      </c>
      <c r="G65" s="2">
        <v>1</v>
      </c>
      <c r="H65" s="2">
        <v>1275</v>
      </c>
      <c r="I65" s="2">
        <v>191.25</v>
      </c>
    </row>
    <row r="66" spans="1:9" x14ac:dyDescent="0.3">
      <c r="A66" s="2" t="s">
        <v>73</v>
      </c>
      <c r="B66" s="3">
        <v>45881</v>
      </c>
      <c r="C66" s="2" t="s">
        <v>136</v>
      </c>
      <c r="D66" s="2" t="s">
        <v>142</v>
      </c>
      <c r="E66" s="2" t="s">
        <v>150</v>
      </c>
      <c r="F66" s="2" t="s">
        <v>155</v>
      </c>
      <c r="G66" s="2">
        <v>1</v>
      </c>
      <c r="H66" s="2">
        <v>12000</v>
      </c>
      <c r="I66" s="2">
        <v>1800</v>
      </c>
    </row>
    <row r="67" spans="1:9" x14ac:dyDescent="0.3">
      <c r="A67" s="2" t="s">
        <v>74</v>
      </c>
      <c r="B67" s="3">
        <v>46020</v>
      </c>
      <c r="C67" s="2" t="s">
        <v>138</v>
      </c>
      <c r="D67" s="2" t="s">
        <v>140</v>
      </c>
      <c r="E67" s="2" t="s">
        <v>149</v>
      </c>
      <c r="F67" s="2" t="s">
        <v>155</v>
      </c>
      <c r="G67" s="2">
        <v>4</v>
      </c>
      <c r="H67" s="2">
        <v>8500</v>
      </c>
      <c r="I67" s="2">
        <v>1275</v>
      </c>
    </row>
    <row r="68" spans="1:9" x14ac:dyDescent="0.3">
      <c r="A68" s="2" t="s">
        <v>75</v>
      </c>
      <c r="B68" s="3">
        <v>45878</v>
      </c>
      <c r="C68" s="2" t="s">
        <v>136</v>
      </c>
      <c r="D68" s="2" t="s">
        <v>141</v>
      </c>
      <c r="E68" s="2" t="s">
        <v>150</v>
      </c>
      <c r="F68" s="2" t="s">
        <v>153</v>
      </c>
      <c r="G68" s="2">
        <v>1</v>
      </c>
      <c r="H68" s="2">
        <v>3300</v>
      </c>
      <c r="I68" s="2">
        <v>330</v>
      </c>
    </row>
    <row r="69" spans="1:9" x14ac:dyDescent="0.3">
      <c r="A69" s="2" t="s">
        <v>76</v>
      </c>
      <c r="B69" s="3">
        <v>45811</v>
      </c>
      <c r="C69" s="2" t="s">
        <v>133</v>
      </c>
      <c r="D69" s="2" t="s">
        <v>147</v>
      </c>
      <c r="E69" s="2" t="s">
        <v>150</v>
      </c>
      <c r="F69" s="2" t="s">
        <v>155</v>
      </c>
      <c r="G69" s="2">
        <v>3</v>
      </c>
      <c r="H69" s="2">
        <v>29700</v>
      </c>
      <c r="I69" s="2">
        <v>3564</v>
      </c>
    </row>
    <row r="70" spans="1:9" x14ac:dyDescent="0.3">
      <c r="A70" s="2" t="s">
        <v>77</v>
      </c>
      <c r="B70" s="3">
        <v>45941</v>
      </c>
      <c r="C70" s="2" t="s">
        <v>129</v>
      </c>
      <c r="D70" s="2" t="s">
        <v>148</v>
      </c>
      <c r="E70" s="2" t="s">
        <v>150</v>
      </c>
      <c r="F70" s="2" t="s">
        <v>154</v>
      </c>
      <c r="G70" s="2">
        <v>2</v>
      </c>
      <c r="H70" s="2">
        <v>14400</v>
      </c>
      <c r="I70" s="2">
        <v>1728</v>
      </c>
    </row>
    <row r="71" spans="1:9" x14ac:dyDescent="0.3">
      <c r="A71" s="2" t="s">
        <v>78</v>
      </c>
      <c r="B71" s="3">
        <v>45949</v>
      </c>
      <c r="C71" s="2" t="s">
        <v>130</v>
      </c>
      <c r="D71" s="2" t="s">
        <v>142</v>
      </c>
      <c r="E71" s="2" t="s">
        <v>150</v>
      </c>
      <c r="F71" s="2" t="s">
        <v>153</v>
      </c>
      <c r="G71" s="2">
        <v>3</v>
      </c>
      <c r="H71" s="2">
        <v>36000</v>
      </c>
      <c r="I71" s="2">
        <v>5400</v>
      </c>
    </row>
    <row r="72" spans="1:9" x14ac:dyDescent="0.3">
      <c r="A72" s="2" t="s">
        <v>79</v>
      </c>
      <c r="B72" s="3">
        <v>45765</v>
      </c>
      <c r="C72" s="2" t="s">
        <v>129</v>
      </c>
      <c r="D72" s="2" t="s">
        <v>143</v>
      </c>
      <c r="E72" s="2" t="s">
        <v>149</v>
      </c>
      <c r="F72" s="2" t="s">
        <v>155</v>
      </c>
      <c r="G72" s="2">
        <v>4</v>
      </c>
      <c r="H72" s="2">
        <v>252000</v>
      </c>
      <c r="I72" s="2">
        <v>37800</v>
      </c>
    </row>
    <row r="73" spans="1:9" x14ac:dyDescent="0.3">
      <c r="A73" s="2" t="s">
        <v>80</v>
      </c>
      <c r="B73" s="3">
        <v>45884</v>
      </c>
      <c r="C73" s="2" t="s">
        <v>135</v>
      </c>
      <c r="D73" s="2" t="s">
        <v>148</v>
      </c>
      <c r="E73" s="2" t="s">
        <v>150</v>
      </c>
      <c r="F73" s="2" t="s">
        <v>154</v>
      </c>
      <c r="G73" s="2">
        <v>2</v>
      </c>
      <c r="H73" s="2">
        <v>16800</v>
      </c>
      <c r="I73" s="2">
        <v>2016</v>
      </c>
    </row>
    <row r="74" spans="1:9" x14ac:dyDescent="0.3">
      <c r="A74" s="2" t="s">
        <v>81</v>
      </c>
      <c r="B74" s="3">
        <v>45921</v>
      </c>
      <c r="C74" s="2" t="s">
        <v>129</v>
      </c>
      <c r="D74" s="2" t="s">
        <v>146</v>
      </c>
      <c r="E74" s="2" t="s">
        <v>149</v>
      </c>
      <c r="F74" s="2" t="s">
        <v>152</v>
      </c>
      <c r="G74" s="2">
        <v>3</v>
      </c>
      <c r="H74" s="2">
        <v>76500</v>
      </c>
      <c r="I74" s="2">
        <v>6120</v>
      </c>
    </row>
    <row r="75" spans="1:9" x14ac:dyDescent="0.3">
      <c r="A75" s="2" t="s">
        <v>82</v>
      </c>
      <c r="B75" s="3">
        <v>45733</v>
      </c>
      <c r="C75" s="2" t="s">
        <v>132</v>
      </c>
      <c r="D75" s="2" t="s">
        <v>144</v>
      </c>
      <c r="E75" s="2" t="s">
        <v>149</v>
      </c>
      <c r="F75" s="2" t="s">
        <v>153</v>
      </c>
      <c r="G75" s="2">
        <v>1</v>
      </c>
      <c r="H75" s="2">
        <v>1275</v>
      </c>
      <c r="I75" s="2">
        <v>102</v>
      </c>
    </row>
    <row r="76" spans="1:9" x14ac:dyDescent="0.3">
      <c r="A76" s="2" t="s">
        <v>83</v>
      </c>
      <c r="B76" s="3">
        <v>45870</v>
      </c>
      <c r="C76" s="2" t="s">
        <v>135</v>
      </c>
      <c r="D76" s="2" t="s">
        <v>145</v>
      </c>
      <c r="E76" s="2" t="s">
        <v>150</v>
      </c>
      <c r="F76" s="2" t="s">
        <v>152</v>
      </c>
      <c r="G76" s="2">
        <v>2</v>
      </c>
      <c r="H76" s="2">
        <v>55000</v>
      </c>
      <c r="I76" s="2">
        <v>9900</v>
      </c>
    </row>
    <row r="77" spans="1:9" x14ac:dyDescent="0.3">
      <c r="A77" s="2" t="s">
        <v>84</v>
      </c>
      <c r="B77" s="3">
        <v>45782</v>
      </c>
      <c r="C77" s="2" t="s">
        <v>137</v>
      </c>
      <c r="D77" s="2" t="s">
        <v>142</v>
      </c>
      <c r="E77" s="2" t="s">
        <v>150</v>
      </c>
      <c r="F77" s="2" t="s">
        <v>154</v>
      </c>
      <c r="G77" s="2">
        <v>2</v>
      </c>
      <c r="H77" s="2">
        <v>26400</v>
      </c>
      <c r="I77" s="2">
        <v>4752</v>
      </c>
    </row>
    <row r="78" spans="1:9" x14ac:dyDescent="0.3">
      <c r="A78" s="2" t="s">
        <v>85</v>
      </c>
      <c r="B78" s="3">
        <v>45770</v>
      </c>
      <c r="C78" s="2" t="s">
        <v>137</v>
      </c>
      <c r="D78" s="2" t="s">
        <v>143</v>
      </c>
      <c r="E78" s="2" t="s">
        <v>149</v>
      </c>
      <c r="F78" s="2" t="s">
        <v>152</v>
      </c>
      <c r="G78" s="2">
        <v>2</v>
      </c>
      <c r="H78" s="2">
        <v>132000</v>
      </c>
      <c r="I78" s="2">
        <v>19800</v>
      </c>
    </row>
    <row r="79" spans="1:9" x14ac:dyDescent="0.3">
      <c r="A79" s="2" t="s">
        <v>86</v>
      </c>
      <c r="B79" s="3">
        <v>45785</v>
      </c>
      <c r="C79" s="2" t="s">
        <v>131</v>
      </c>
      <c r="D79" s="2" t="s">
        <v>145</v>
      </c>
      <c r="E79" s="2" t="s">
        <v>150</v>
      </c>
      <c r="F79" s="2" t="s">
        <v>152</v>
      </c>
      <c r="G79" s="2">
        <v>1</v>
      </c>
      <c r="H79" s="2">
        <v>25000</v>
      </c>
      <c r="I79" s="2">
        <v>2000</v>
      </c>
    </row>
    <row r="80" spans="1:9" x14ac:dyDescent="0.3">
      <c r="A80" s="2" t="s">
        <v>87</v>
      </c>
      <c r="B80" s="3">
        <v>45971</v>
      </c>
      <c r="C80" s="2" t="s">
        <v>135</v>
      </c>
      <c r="D80" s="2" t="s">
        <v>145</v>
      </c>
      <c r="E80" s="2" t="s">
        <v>150</v>
      </c>
      <c r="F80" s="2" t="s">
        <v>155</v>
      </c>
      <c r="G80" s="2">
        <v>4</v>
      </c>
      <c r="H80" s="2">
        <v>105000</v>
      </c>
      <c r="I80" s="2">
        <v>12600</v>
      </c>
    </row>
    <row r="81" spans="1:9" x14ac:dyDescent="0.3">
      <c r="A81" s="2" t="s">
        <v>88</v>
      </c>
      <c r="B81" s="3">
        <v>45790</v>
      </c>
      <c r="C81" s="2" t="s">
        <v>133</v>
      </c>
      <c r="D81" s="2" t="s">
        <v>146</v>
      </c>
      <c r="E81" s="2" t="s">
        <v>149</v>
      </c>
      <c r="F81" s="2" t="s">
        <v>154</v>
      </c>
      <c r="G81" s="2">
        <v>2</v>
      </c>
      <c r="H81" s="2">
        <v>66000</v>
      </c>
      <c r="I81" s="2">
        <v>6600</v>
      </c>
    </row>
    <row r="82" spans="1:9" x14ac:dyDescent="0.3">
      <c r="A82" s="2" t="s">
        <v>89</v>
      </c>
      <c r="B82" s="3">
        <v>45798</v>
      </c>
      <c r="C82" s="2" t="s">
        <v>132</v>
      </c>
      <c r="D82" s="2" t="s">
        <v>141</v>
      </c>
      <c r="E82" s="2" t="s">
        <v>150</v>
      </c>
      <c r="F82" s="2" t="s">
        <v>154</v>
      </c>
      <c r="G82" s="2">
        <v>4</v>
      </c>
      <c r="H82" s="2">
        <v>10200</v>
      </c>
      <c r="I82" s="2">
        <v>1836</v>
      </c>
    </row>
    <row r="83" spans="1:9" x14ac:dyDescent="0.3">
      <c r="A83" s="2" t="s">
        <v>90</v>
      </c>
      <c r="B83" s="3">
        <v>45829</v>
      </c>
      <c r="C83" s="2" t="s">
        <v>129</v>
      </c>
      <c r="D83" s="2" t="s">
        <v>144</v>
      </c>
      <c r="E83" s="2" t="s">
        <v>149</v>
      </c>
      <c r="F83" s="2" t="s">
        <v>153</v>
      </c>
      <c r="G83" s="2">
        <v>3</v>
      </c>
      <c r="H83" s="2">
        <v>4725</v>
      </c>
      <c r="I83" s="2">
        <v>283.5</v>
      </c>
    </row>
    <row r="84" spans="1:9" x14ac:dyDescent="0.3">
      <c r="A84" s="2" t="s">
        <v>91</v>
      </c>
      <c r="B84" s="3">
        <v>45854</v>
      </c>
      <c r="C84" s="2" t="s">
        <v>132</v>
      </c>
      <c r="D84" s="2" t="s">
        <v>146</v>
      </c>
      <c r="E84" s="2" t="s">
        <v>149</v>
      </c>
      <c r="F84" s="2" t="s">
        <v>153</v>
      </c>
      <c r="G84" s="2">
        <v>2</v>
      </c>
      <c r="H84" s="2">
        <v>66000</v>
      </c>
      <c r="I84" s="2">
        <v>5280</v>
      </c>
    </row>
    <row r="85" spans="1:9" x14ac:dyDescent="0.3">
      <c r="A85" s="2" t="s">
        <v>92</v>
      </c>
      <c r="B85" s="3">
        <v>45827</v>
      </c>
      <c r="C85" s="2" t="s">
        <v>137</v>
      </c>
      <c r="D85" s="2" t="s">
        <v>139</v>
      </c>
      <c r="E85" s="2" t="s">
        <v>149</v>
      </c>
      <c r="F85" s="2" t="s">
        <v>154</v>
      </c>
      <c r="G85" s="2">
        <v>4</v>
      </c>
      <c r="H85" s="2">
        <v>72000</v>
      </c>
      <c r="I85" s="2">
        <v>4320</v>
      </c>
    </row>
    <row r="86" spans="1:9" x14ac:dyDescent="0.3">
      <c r="A86" s="2" t="s">
        <v>93</v>
      </c>
      <c r="B86" s="3">
        <v>45957</v>
      </c>
      <c r="C86" s="2" t="s">
        <v>137</v>
      </c>
      <c r="D86" s="2" t="s">
        <v>140</v>
      </c>
      <c r="E86" s="2" t="s">
        <v>149</v>
      </c>
      <c r="F86" s="2" t="s">
        <v>154</v>
      </c>
      <c r="G86" s="2">
        <v>1</v>
      </c>
      <c r="H86" s="2">
        <v>2625</v>
      </c>
      <c r="I86" s="2">
        <v>315</v>
      </c>
    </row>
    <row r="87" spans="1:9" x14ac:dyDescent="0.3">
      <c r="A87" s="2" t="s">
        <v>94</v>
      </c>
      <c r="B87" s="3">
        <v>45810</v>
      </c>
      <c r="C87" s="2" t="s">
        <v>136</v>
      </c>
      <c r="D87" s="2" t="s">
        <v>145</v>
      </c>
      <c r="E87" s="2" t="s">
        <v>150</v>
      </c>
      <c r="F87" s="2" t="s">
        <v>152</v>
      </c>
      <c r="G87" s="2">
        <v>4</v>
      </c>
      <c r="H87" s="2">
        <v>100000</v>
      </c>
      <c r="I87" s="2">
        <v>15000</v>
      </c>
    </row>
    <row r="88" spans="1:9" x14ac:dyDescent="0.3">
      <c r="A88" s="2" t="s">
        <v>95</v>
      </c>
      <c r="B88" s="3">
        <v>45770</v>
      </c>
      <c r="C88" s="2" t="s">
        <v>135</v>
      </c>
      <c r="D88" s="2" t="s">
        <v>141</v>
      </c>
      <c r="E88" s="2" t="s">
        <v>150</v>
      </c>
      <c r="F88" s="2" t="s">
        <v>153</v>
      </c>
      <c r="G88" s="2">
        <v>3</v>
      </c>
      <c r="H88" s="2">
        <v>9000</v>
      </c>
      <c r="I88" s="2">
        <v>1080</v>
      </c>
    </row>
    <row r="89" spans="1:9" x14ac:dyDescent="0.3">
      <c r="A89" s="2" t="s">
        <v>96</v>
      </c>
      <c r="B89" s="3">
        <v>46000</v>
      </c>
      <c r="C89" s="2" t="s">
        <v>136</v>
      </c>
      <c r="D89" s="2" t="s">
        <v>143</v>
      </c>
      <c r="E89" s="2" t="s">
        <v>149</v>
      </c>
      <c r="F89" s="2" t="s">
        <v>154</v>
      </c>
      <c r="G89" s="2">
        <v>4</v>
      </c>
      <c r="H89" s="2">
        <v>264000</v>
      </c>
      <c r="I89" s="2">
        <v>21120</v>
      </c>
    </row>
    <row r="90" spans="1:9" x14ac:dyDescent="0.3">
      <c r="A90" s="2" t="s">
        <v>97</v>
      </c>
      <c r="B90" s="3">
        <v>45931</v>
      </c>
      <c r="C90" s="2" t="s">
        <v>130</v>
      </c>
      <c r="D90" s="2" t="s">
        <v>145</v>
      </c>
      <c r="E90" s="2" t="s">
        <v>150</v>
      </c>
      <c r="F90" s="2" t="s">
        <v>153</v>
      </c>
      <c r="G90" s="2">
        <v>1</v>
      </c>
      <c r="H90" s="2">
        <v>25000</v>
      </c>
      <c r="I90" s="2">
        <v>3750</v>
      </c>
    </row>
    <row r="91" spans="1:9" x14ac:dyDescent="0.3">
      <c r="A91" s="2" t="s">
        <v>98</v>
      </c>
      <c r="B91" s="3">
        <v>45987</v>
      </c>
      <c r="C91" s="2" t="s">
        <v>133</v>
      </c>
      <c r="D91" s="2" t="s">
        <v>147</v>
      </c>
      <c r="E91" s="2" t="s">
        <v>150</v>
      </c>
      <c r="F91" s="2" t="s">
        <v>152</v>
      </c>
      <c r="G91" s="2">
        <v>4</v>
      </c>
      <c r="H91" s="2">
        <v>32400</v>
      </c>
      <c r="I91" s="2">
        <v>3888</v>
      </c>
    </row>
    <row r="92" spans="1:9" x14ac:dyDescent="0.3">
      <c r="A92" s="2" t="s">
        <v>99</v>
      </c>
      <c r="B92" s="3">
        <v>45852</v>
      </c>
      <c r="C92" s="2" t="s">
        <v>129</v>
      </c>
      <c r="D92" s="2" t="s">
        <v>146</v>
      </c>
      <c r="E92" s="2" t="s">
        <v>149</v>
      </c>
      <c r="F92" s="2" t="s">
        <v>152</v>
      </c>
      <c r="G92" s="2">
        <v>3</v>
      </c>
      <c r="H92" s="2">
        <v>81000</v>
      </c>
      <c r="I92" s="2">
        <v>9720</v>
      </c>
    </row>
    <row r="93" spans="1:9" x14ac:dyDescent="0.3">
      <c r="A93" s="2" t="s">
        <v>100</v>
      </c>
      <c r="B93" s="3">
        <v>45800</v>
      </c>
      <c r="C93" s="2" t="s">
        <v>137</v>
      </c>
      <c r="D93" s="2" t="s">
        <v>148</v>
      </c>
      <c r="E93" s="2" t="s">
        <v>150</v>
      </c>
      <c r="F93" s="2" t="s">
        <v>153</v>
      </c>
      <c r="G93" s="2">
        <v>4</v>
      </c>
      <c r="H93" s="2">
        <v>32000</v>
      </c>
      <c r="I93" s="2">
        <v>1920</v>
      </c>
    </row>
    <row r="94" spans="1:9" x14ac:dyDescent="0.3">
      <c r="A94" s="2" t="s">
        <v>101</v>
      </c>
      <c r="B94" s="3">
        <v>45684</v>
      </c>
      <c r="C94" s="2" t="s">
        <v>131</v>
      </c>
      <c r="D94" s="2" t="s">
        <v>145</v>
      </c>
      <c r="E94" s="2" t="s">
        <v>150</v>
      </c>
      <c r="F94" s="2" t="s">
        <v>152</v>
      </c>
      <c r="G94" s="2">
        <v>3</v>
      </c>
      <c r="H94" s="2">
        <v>67500</v>
      </c>
      <c r="I94" s="2">
        <v>12150</v>
      </c>
    </row>
    <row r="95" spans="1:9" x14ac:dyDescent="0.3">
      <c r="A95" s="2" t="s">
        <v>102</v>
      </c>
      <c r="B95" s="3">
        <v>45784</v>
      </c>
      <c r="C95" s="2" t="s">
        <v>138</v>
      </c>
      <c r="D95" s="2" t="s">
        <v>139</v>
      </c>
      <c r="E95" s="2" t="s">
        <v>149</v>
      </c>
      <c r="F95" s="2" t="s">
        <v>152</v>
      </c>
      <c r="G95" s="2">
        <v>2</v>
      </c>
      <c r="H95" s="2">
        <v>30600</v>
      </c>
      <c r="I95" s="2">
        <v>4590</v>
      </c>
    </row>
    <row r="96" spans="1:9" x14ac:dyDescent="0.3">
      <c r="A96" s="2" t="s">
        <v>103</v>
      </c>
      <c r="B96" s="3">
        <v>45900</v>
      </c>
      <c r="C96" s="2" t="s">
        <v>134</v>
      </c>
      <c r="D96" s="2" t="s">
        <v>146</v>
      </c>
      <c r="E96" s="2" t="s">
        <v>149</v>
      </c>
      <c r="F96" s="2" t="s">
        <v>153</v>
      </c>
      <c r="G96" s="2">
        <v>1</v>
      </c>
      <c r="H96" s="2">
        <v>31500</v>
      </c>
      <c r="I96" s="2">
        <v>2520</v>
      </c>
    </row>
    <row r="97" spans="1:9" x14ac:dyDescent="0.3">
      <c r="A97" s="2" t="s">
        <v>104</v>
      </c>
      <c r="B97" s="3">
        <v>45743</v>
      </c>
      <c r="C97" s="2" t="s">
        <v>136</v>
      </c>
      <c r="D97" s="2" t="s">
        <v>145</v>
      </c>
      <c r="E97" s="2" t="s">
        <v>150</v>
      </c>
      <c r="F97" s="2" t="s">
        <v>155</v>
      </c>
      <c r="G97" s="2">
        <v>1</v>
      </c>
      <c r="H97" s="2">
        <v>22500</v>
      </c>
      <c r="I97" s="2">
        <v>2250</v>
      </c>
    </row>
    <row r="98" spans="1:9" x14ac:dyDescent="0.3">
      <c r="A98" s="2" t="s">
        <v>105</v>
      </c>
      <c r="B98" s="3">
        <v>45952</v>
      </c>
      <c r="C98" s="2" t="s">
        <v>129</v>
      </c>
      <c r="D98" s="2" t="s">
        <v>139</v>
      </c>
      <c r="E98" s="2" t="s">
        <v>149</v>
      </c>
      <c r="F98" s="2" t="s">
        <v>152</v>
      </c>
      <c r="G98" s="2">
        <v>4</v>
      </c>
      <c r="H98" s="2">
        <v>72000</v>
      </c>
      <c r="I98" s="2">
        <v>12960</v>
      </c>
    </row>
    <row r="99" spans="1:9" x14ac:dyDescent="0.3">
      <c r="A99" s="2" t="s">
        <v>106</v>
      </c>
      <c r="B99" s="3">
        <v>46011</v>
      </c>
      <c r="C99" s="2" t="s">
        <v>130</v>
      </c>
      <c r="D99" s="2" t="s">
        <v>140</v>
      </c>
      <c r="E99" s="2" t="s">
        <v>149</v>
      </c>
      <c r="F99" s="2" t="s">
        <v>152</v>
      </c>
      <c r="G99" s="2">
        <v>2</v>
      </c>
      <c r="H99" s="2">
        <v>4250</v>
      </c>
      <c r="I99" s="2">
        <v>765</v>
      </c>
    </row>
    <row r="100" spans="1:9" x14ac:dyDescent="0.3">
      <c r="A100" s="2" t="s">
        <v>107</v>
      </c>
      <c r="B100" s="3">
        <v>45679</v>
      </c>
      <c r="C100" s="2" t="s">
        <v>130</v>
      </c>
      <c r="D100" s="2" t="s">
        <v>144</v>
      </c>
      <c r="E100" s="2" t="s">
        <v>149</v>
      </c>
      <c r="F100" s="2" t="s">
        <v>152</v>
      </c>
      <c r="G100" s="2">
        <v>3</v>
      </c>
      <c r="H100" s="2">
        <v>4725</v>
      </c>
      <c r="I100" s="2">
        <v>567</v>
      </c>
    </row>
    <row r="101" spans="1:9" x14ac:dyDescent="0.3">
      <c r="A101" s="2" t="s">
        <v>108</v>
      </c>
      <c r="B101" s="3">
        <v>45989</v>
      </c>
      <c r="C101" s="2" t="s">
        <v>131</v>
      </c>
      <c r="D101" s="2" t="s">
        <v>148</v>
      </c>
      <c r="E101" s="2" t="s">
        <v>150</v>
      </c>
      <c r="F101" s="2" t="s">
        <v>152</v>
      </c>
      <c r="G101" s="2">
        <v>3</v>
      </c>
      <c r="H101" s="2">
        <v>20400</v>
      </c>
      <c r="I101" s="2">
        <v>2448</v>
      </c>
    </row>
    <row r="102" spans="1:9" x14ac:dyDescent="0.3">
      <c r="A102" s="2" t="s">
        <v>109</v>
      </c>
      <c r="B102" s="3">
        <v>45843</v>
      </c>
      <c r="C102" s="2" t="s">
        <v>137</v>
      </c>
      <c r="D102" s="2" t="s">
        <v>145</v>
      </c>
      <c r="E102" s="2" t="s">
        <v>150</v>
      </c>
      <c r="F102" s="2" t="s">
        <v>152</v>
      </c>
      <c r="G102" s="2">
        <v>4</v>
      </c>
      <c r="H102" s="2">
        <v>110000</v>
      </c>
      <c r="I102" s="2">
        <v>8800</v>
      </c>
    </row>
    <row r="103" spans="1:9" x14ac:dyDescent="0.3">
      <c r="A103" s="2" t="s">
        <v>110</v>
      </c>
      <c r="B103" s="3">
        <v>45991</v>
      </c>
      <c r="C103" s="2" t="s">
        <v>131</v>
      </c>
      <c r="D103" s="2" t="s">
        <v>142</v>
      </c>
      <c r="E103" s="2" t="s">
        <v>150</v>
      </c>
      <c r="F103" s="2" t="s">
        <v>153</v>
      </c>
      <c r="G103" s="2">
        <v>3</v>
      </c>
      <c r="H103" s="2">
        <v>37800</v>
      </c>
      <c r="I103" s="2">
        <v>5670</v>
      </c>
    </row>
    <row r="104" spans="1:9" x14ac:dyDescent="0.3">
      <c r="A104" s="2" t="s">
        <v>111</v>
      </c>
      <c r="B104" s="3">
        <v>45961</v>
      </c>
      <c r="C104" s="2" t="s">
        <v>137</v>
      </c>
      <c r="D104" s="2" t="s">
        <v>145</v>
      </c>
      <c r="E104" s="2" t="s">
        <v>150</v>
      </c>
      <c r="F104" s="2" t="s">
        <v>154</v>
      </c>
      <c r="G104" s="2">
        <v>3</v>
      </c>
      <c r="H104" s="2">
        <v>75000</v>
      </c>
      <c r="I104" s="2">
        <v>6000</v>
      </c>
    </row>
    <row r="105" spans="1:9" x14ac:dyDescent="0.3">
      <c r="A105" s="2" t="s">
        <v>112</v>
      </c>
      <c r="B105" s="3">
        <v>45782</v>
      </c>
      <c r="C105" s="2" t="s">
        <v>135</v>
      </c>
      <c r="D105" s="2" t="s">
        <v>139</v>
      </c>
      <c r="E105" s="2" t="s">
        <v>149</v>
      </c>
      <c r="F105" s="2" t="s">
        <v>155</v>
      </c>
      <c r="G105" s="2">
        <v>4</v>
      </c>
      <c r="H105" s="2">
        <v>75600</v>
      </c>
      <c r="I105" s="2">
        <v>11340</v>
      </c>
    </row>
    <row r="106" spans="1:9" x14ac:dyDescent="0.3">
      <c r="A106" s="2" t="s">
        <v>113</v>
      </c>
      <c r="B106" s="3">
        <v>45911</v>
      </c>
      <c r="C106" s="2" t="s">
        <v>138</v>
      </c>
      <c r="D106" s="2" t="s">
        <v>142</v>
      </c>
      <c r="E106" s="2" t="s">
        <v>150</v>
      </c>
      <c r="F106" s="2" t="s">
        <v>155</v>
      </c>
      <c r="G106" s="2">
        <v>3</v>
      </c>
      <c r="H106" s="2">
        <v>32400</v>
      </c>
      <c r="I106" s="2">
        <v>3888</v>
      </c>
    </row>
    <row r="107" spans="1:9" x14ac:dyDescent="0.3">
      <c r="A107" s="2" t="s">
        <v>114</v>
      </c>
      <c r="B107" s="3">
        <v>45832</v>
      </c>
      <c r="C107" s="2" t="s">
        <v>129</v>
      </c>
      <c r="D107" s="2" t="s">
        <v>140</v>
      </c>
      <c r="E107" s="2" t="s">
        <v>149</v>
      </c>
      <c r="F107" s="2" t="s">
        <v>155</v>
      </c>
      <c r="G107" s="2">
        <v>3</v>
      </c>
      <c r="H107" s="2">
        <v>7875</v>
      </c>
      <c r="I107" s="2">
        <v>1417.5</v>
      </c>
    </row>
    <row r="108" spans="1:9" x14ac:dyDescent="0.3">
      <c r="A108" s="2" t="s">
        <v>115</v>
      </c>
      <c r="B108" s="3">
        <v>45755</v>
      </c>
      <c r="C108" s="2" t="s">
        <v>131</v>
      </c>
      <c r="D108" s="2" t="s">
        <v>144</v>
      </c>
      <c r="E108" s="2" t="s">
        <v>149</v>
      </c>
      <c r="F108" s="2" t="s">
        <v>152</v>
      </c>
      <c r="G108" s="2">
        <v>1</v>
      </c>
      <c r="H108" s="2">
        <v>1350</v>
      </c>
      <c r="I108" s="2">
        <v>243</v>
      </c>
    </row>
    <row r="109" spans="1:9" x14ac:dyDescent="0.3">
      <c r="A109" s="2" t="s">
        <v>116</v>
      </c>
      <c r="B109" s="3">
        <v>45781</v>
      </c>
      <c r="C109" s="2" t="s">
        <v>131</v>
      </c>
      <c r="D109" s="2" t="s">
        <v>142</v>
      </c>
      <c r="E109" s="2" t="s">
        <v>150</v>
      </c>
      <c r="F109" s="2" t="s">
        <v>154</v>
      </c>
      <c r="G109" s="2">
        <v>4</v>
      </c>
      <c r="H109" s="2">
        <v>52800</v>
      </c>
      <c r="I109" s="2">
        <v>9504</v>
      </c>
    </row>
    <row r="110" spans="1:9" x14ac:dyDescent="0.3">
      <c r="A110" s="2" t="s">
        <v>117</v>
      </c>
      <c r="B110" s="3">
        <v>45705</v>
      </c>
      <c r="C110" s="2" t="s">
        <v>138</v>
      </c>
      <c r="D110" s="2" t="s">
        <v>145</v>
      </c>
      <c r="E110" s="2" t="s">
        <v>150</v>
      </c>
      <c r="F110" s="2" t="s">
        <v>154</v>
      </c>
      <c r="G110" s="2">
        <v>3</v>
      </c>
      <c r="H110" s="2">
        <v>67500</v>
      </c>
      <c r="I110" s="2">
        <v>8100</v>
      </c>
    </row>
    <row r="111" spans="1:9" x14ac:dyDescent="0.3">
      <c r="A111" s="2" t="s">
        <v>118</v>
      </c>
      <c r="B111" s="3">
        <v>45846</v>
      </c>
      <c r="C111" s="2" t="s">
        <v>130</v>
      </c>
      <c r="D111" s="2" t="s">
        <v>140</v>
      </c>
      <c r="E111" s="2" t="s">
        <v>149</v>
      </c>
      <c r="F111" s="2" t="s">
        <v>155</v>
      </c>
      <c r="G111" s="2">
        <v>4</v>
      </c>
      <c r="H111" s="2">
        <v>10500</v>
      </c>
      <c r="I111" s="2">
        <v>1575</v>
      </c>
    </row>
    <row r="112" spans="1:9" x14ac:dyDescent="0.3">
      <c r="A112" s="2" t="s">
        <v>119</v>
      </c>
      <c r="B112" s="3">
        <v>45827</v>
      </c>
      <c r="C112" s="2" t="s">
        <v>131</v>
      </c>
      <c r="D112" s="2" t="s">
        <v>148</v>
      </c>
      <c r="E112" s="2" t="s">
        <v>150</v>
      </c>
      <c r="F112" s="2" t="s">
        <v>154</v>
      </c>
      <c r="G112" s="2">
        <v>3</v>
      </c>
      <c r="H112" s="2">
        <v>26400</v>
      </c>
      <c r="I112" s="2">
        <v>3168</v>
      </c>
    </row>
    <row r="113" spans="1:9" x14ac:dyDescent="0.3">
      <c r="A113" s="2" t="s">
        <v>120</v>
      </c>
      <c r="B113" s="3">
        <v>45776</v>
      </c>
      <c r="C113" s="2" t="s">
        <v>129</v>
      </c>
      <c r="D113" s="2" t="s">
        <v>144</v>
      </c>
      <c r="E113" s="2" t="s">
        <v>149</v>
      </c>
      <c r="F113" s="2" t="s">
        <v>155</v>
      </c>
      <c r="G113" s="2">
        <v>1</v>
      </c>
      <c r="H113" s="2">
        <v>1650</v>
      </c>
      <c r="I113" s="2">
        <v>132</v>
      </c>
    </row>
    <row r="114" spans="1:9" x14ac:dyDescent="0.3">
      <c r="A114" s="2" t="s">
        <v>121</v>
      </c>
      <c r="B114" s="3">
        <v>46011</v>
      </c>
      <c r="C114" s="2" t="s">
        <v>131</v>
      </c>
      <c r="D114" s="2" t="s">
        <v>148</v>
      </c>
      <c r="E114" s="2" t="s">
        <v>150</v>
      </c>
      <c r="F114" s="2" t="s">
        <v>152</v>
      </c>
      <c r="G114" s="2">
        <v>2</v>
      </c>
      <c r="H114" s="2">
        <v>14400</v>
      </c>
      <c r="I114" s="2">
        <v>1152</v>
      </c>
    </row>
    <row r="115" spans="1:9" x14ac:dyDescent="0.3">
      <c r="A115" s="2" t="s">
        <v>122</v>
      </c>
      <c r="B115" s="3">
        <v>45926</v>
      </c>
      <c r="C115" s="2" t="s">
        <v>130</v>
      </c>
      <c r="D115" s="2" t="s">
        <v>145</v>
      </c>
      <c r="E115" s="2" t="s">
        <v>150</v>
      </c>
      <c r="F115" s="2" t="s">
        <v>155</v>
      </c>
      <c r="G115" s="2">
        <v>3</v>
      </c>
      <c r="H115" s="2">
        <v>63750</v>
      </c>
      <c r="I115" s="2">
        <v>5100</v>
      </c>
    </row>
    <row r="116" spans="1:9" x14ac:dyDescent="0.3">
      <c r="A116" s="2" t="s">
        <v>123</v>
      </c>
      <c r="B116" s="3">
        <v>45749</v>
      </c>
      <c r="C116" s="2" t="s">
        <v>136</v>
      </c>
      <c r="D116" s="2" t="s">
        <v>144</v>
      </c>
      <c r="E116" s="2" t="s">
        <v>149</v>
      </c>
      <c r="F116" s="2" t="s">
        <v>153</v>
      </c>
      <c r="G116" s="2">
        <v>3</v>
      </c>
      <c r="H116" s="2">
        <v>3825</v>
      </c>
      <c r="I116" s="2">
        <v>688.5</v>
      </c>
    </row>
    <row r="117" spans="1:9" x14ac:dyDescent="0.3">
      <c r="A117" s="2" t="s">
        <v>124</v>
      </c>
      <c r="B117" s="3">
        <v>45681</v>
      </c>
      <c r="C117" s="2" t="s">
        <v>129</v>
      </c>
      <c r="D117" s="2" t="s">
        <v>141</v>
      </c>
      <c r="E117" s="2" t="s">
        <v>150</v>
      </c>
      <c r="F117" s="2" t="s">
        <v>153</v>
      </c>
      <c r="G117" s="2">
        <v>1</v>
      </c>
      <c r="H117" s="2">
        <v>3150</v>
      </c>
      <c r="I117" s="2">
        <v>315</v>
      </c>
    </row>
    <row r="118" spans="1:9" x14ac:dyDescent="0.3">
      <c r="A118" s="2" t="s">
        <v>125</v>
      </c>
      <c r="B118" s="3">
        <v>45664</v>
      </c>
      <c r="C118" s="2" t="s">
        <v>133</v>
      </c>
      <c r="D118" s="2" t="s">
        <v>146</v>
      </c>
      <c r="E118" s="2" t="s">
        <v>149</v>
      </c>
      <c r="F118" s="2" t="s">
        <v>154</v>
      </c>
      <c r="G118" s="2">
        <v>3</v>
      </c>
      <c r="H118" s="2">
        <v>90000</v>
      </c>
      <c r="I118" s="2">
        <v>10800</v>
      </c>
    </row>
    <row r="119" spans="1:9" x14ac:dyDescent="0.3">
      <c r="A119" s="2" t="s">
        <v>126</v>
      </c>
      <c r="B119" s="3">
        <v>45684</v>
      </c>
      <c r="C119" s="2" t="s">
        <v>134</v>
      </c>
      <c r="D119" s="2" t="s">
        <v>145</v>
      </c>
      <c r="E119" s="2" t="s">
        <v>150</v>
      </c>
      <c r="F119" s="2" t="s">
        <v>155</v>
      </c>
      <c r="G119" s="2">
        <v>3</v>
      </c>
      <c r="H119" s="2">
        <v>75000</v>
      </c>
      <c r="I119" s="2">
        <v>4500</v>
      </c>
    </row>
    <row r="120" spans="1:9" x14ac:dyDescent="0.3">
      <c r="A120" s="2" t="s">
        <v>127</v>
      </c>
      <c r="B120" s="3">
        <v>45695</v>
      </c>
      <c r="C120" s="2" t="s">
        <v>135</v>
      </c>
      <c r="D120" s="2" t="s">
        <v>139</v>
      </c>
      <c r="E120" s="2" t="s">
        <v>149</v>
      </c>
      <c r="F120" s="2" t="s">
        <v>154</v>
      </c>
      <c r="G120" s="2">
        <v>1</v>
      </c>
      <c r="H120" s="2">
        <v>16200</v>
      </c>
      <c r="I120" s="2">
        <v>1296</v>
      </c>
    </row>
    <row r="121" spans="1:9" x14ac:dyDescent="0.3">
      <c r="A121" s="2" t="s">
        <v>128</v>
      </c>
      <c r="B121" s="3">
        <v>45785</v>
      </c>
      <c r="C121" s="2" t="s">
        <v>133</v>
      </c>
      <c r="D121" s="2" t="s">
        <v>147</v>
      </c>
      <c r="E121" s="2" t="s">
        <v>150</v>
      </c>
      <c r="F121" s="2" t="s">
        <v>155</v>
      </c>
      <c r="G121" s="2">
        <v>1</v>
      </c>
      <c r="H121" s="2">
        <v>9450</v>
      </c>
      <c r="I121" s="2">
        <v>1134</v>
      </c>
    </row>
    <row r="122" spans="1:9" x14ac:dyDescent="0.3">
      <c r="A122" s="2" t="s">
        <v>29</v>
      </c>
      <c r="B122" s="3">
        <v>45749</v>
      </c>
      <c r="C122" s="2" t="s">
        <v>131</v>
      </c>
      <c r="D122" s="2" t="s">
        <v>143</v>
      </c>
      <c r="E122" s="2" t="s">
        <v>149</v>
      </c>
      <c r="F122" s="2" t="s">
        <v>155</v>
      </c>
      <c r="G122" s="2">
        <v>1</v>
      </c>
      <c r="H122" s="2">
        <v>66000</v>
      </c>
      <c r="I122" s="2">
        <v>6600</v>
      </c>
    </row>
    <row r="123" spans="1:9" x14ac:dyDescent="0.3">
      <c r="A123" s="2" t="s">
        <v>83</v>
      </c>
      <c r="B123" s="3">
        <v>45870</v>
      </c>
      <c r="C123" s="2" t="s">
        <v>135</v>
      </c>
      <c r="D123" s="2" t="s">
        <v>145</v>
      </c>
      <c r="E123" s="2" t="s">
        <v>150</v>
      </c>
      <c r="F123" s="2" t="s">
        <v>152</v>
      </c>
      <c r="G123" s="2">
        <v>2</v>
      </c>
      <c r="H123" s="2">
        <v>55000</v>
      </c>
      <c r="I123" s="2">
        <v>9900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AEC18-11A1-41A4-A7E6-2C1E08C33253}">
  <dimension ref="A1:Q121"/>
  <sheetViews>
    <sheetView topLeftCell="A105" workbookViewId="0">
      <selection activeCell="A2" sqref="A2:I121"/>
    </sheetView>
  </sheetViews>
  <sheetFormatPr defaultRowHeight="14.4" x14ac:dyDescent="0.3"/>
  <cols>
    <col min="1" max="1" width="18.77734375" style="4" customWidth="1"/>
    <col min="2" max="2" width="19.44140625" customWidth="1"/>
    <col min="3" max="3" width="15.33203125" customWidth="1"/>
    <col min="4" max="4" width="15.21875" customWidth="1"/>
    <col min="5" max="5" width="13.88671875" customWidth="1"/>
    <col min="8" max="8" width="12.5546875" style="14" customWidth="1"/>
    <col min="9" max="9" width="13.33203125" style="14" customWidth="1"/>
    <col min="15" max="15" width="14" customWidth="1"/>
    <col min="16" max="16" width="15" customWidth="1"/>
    <col min="17" max="17" width="12.109375" customWidth="1"/>
  </cols>
  <sheetData>
    <row r="1" spans="1:17" ht="15" thickBot="1" x14ac:dyDescent="0.35">
      <c r="A1" s="10" t="s">
        <v>0</v>
      </c>
      <c r="B1" s="1" t="s">
        <v>1</v>
      </c>
      <c r="C1" s="1" t="s">
        <v>2</v>
      </c>
      <c r="D1" s="1" t="s">
        <v>3</v>
      </c>
      <c r="E1" s="1" t="s">
        <v>4</v>
      </c>
      <c r="F1" s="1" t="s">
        <v>5</v>
      </c>
      <c r="G1" s="1" t="s">
        <v>6</v>
      </c>
      <c r="H1" s="12" t="s">
        <v>7</v>
      </c>
      <c r="I1" s="12" t="s">
        <v>8</v>
      </c>
      <c r="O1" s="5" t="s">
        <v>169</v>
      </c>
      <c r="P1" s="5" t="s">
        <v>170</v>
      </c>
      <c r="Q1" s="5" t="s">
        <v>171</v>
      </c>
    </row>
    <row r="2" spans="1:17" x14ac:dyDescent="0.3">
      <c r="A2" s="11" t="s">
        <v>9</v>
      </c>
      <c r="B2" s="3">
        <v>45783</v>
      </c>
      <c r="C2" s="2" t="s">
        <v>129</v>
      </c>
      <c r="D2" s="2" t="s">
        <v>139</v>
      </c>
      <c r="E2" s="2" t="s">
        <v>149</v>
      </c>
      <c r="F2" s="2" t="s">
        <v>152</v>
      </c>
      <c r="G2" s="2">
        <v>2</v>
      </c>
      <c r="H2" s="13">
        <v>32400</v>
      </c>
      <c r="I2" s="13">
        <v>5832</v>
      </c>
      <c r="O2" t="str">
        <f>TRIM(C2)</f>
        <v>Riya Gupta</v>
      </c>
      <c r="P2" t="str">
        <f xml:space="preserve"> TRIM(E2)</f>
        <v>Electronics</v>
      </c>
      <c r="Q2" t="str">
        <f xml:space="preserve"> TRIM(F2)</f>
        <v>North</v>
      </c>
    </row>
    <row r="3" spans="1:17" x14ac:dyDescent="0.3">
      <c r="A3" s="11" t="s">
        <v>10</v>
      </c>
      <c r="B3" s="3">
        <v>45874</v>
      </c>
      <c r="C3" s="2" t="s">
        <v>130</v>
      </c>
      <c r="D3" s="2" t="s">
        <v>139</v>
      </c>
      <c r="E3" s="2" t="s">
        <v>149</v>
      </c>
      <c r="F3" s="2" t="s">
        <v>152</v>
      </c>
      <c r="G3" s="2">
        <v>1</v>
      </c>
      <c r="H3" s="13">
        <v>15300</v>
      </c>
      <c r="I3" s="13">
        <v>918</v>
      </c>
      <c r="O3" t="str">
        <f t="shared" ref="O3:O66" si="0">TRIM(C3)</f>
        <v>Vikas Jain</v>
      </c>
      <c r="P3" t="str">
        <f t="shared" ref="P3:P66" si="1" xml:space="preserve"> TRIM(E3)</f>
        <v>Electronics</v>
      </c>
      <c r="Q3" t="str">
        <f t="shared" ref="Q3:Q66" si="2" xml:space="preserve"> TRIM(F3)</f>
        <v>North</v>
      </c>
    </row>
    <row r="4" spans="1:17" x14ac:dyDescent="0.3">
      <c r="A4" s="11" t="s">
        <v>11</v>
      </c>
      <c r="B4" s="3">
        <v>45966</v>
      </c>
      <c r="C4" s="2" t="s">
        <v>131</v>
      </c>
      <c r="D4" s="2" t="s">
        <v>140</v>
      </c>
      <c r="E4" s="2" t="s">
        <v>149</v>
      </c>
      <c r="F4" s="2" t="s">
        <v>153</v>
      </c>
      <c r="G4" s="2">
        <v>1</v>
      </c>
      <c r="H4" s="13">
        <v>2625</v>
      </c>
      <c r="I4" s="13">
        <v>210</v>
      </c>
      <c r="O4" t="str">
        <f t="shared" si="0"/>
        <v>Simran Kaur</v>
      </c>
      <c r="P4" t="str">
        <f t="shared" si="1"/>
        <v>Electronics</v>
      </c>
      <c r="Q4" t="str">
        <f t="shared" si="2"/>
        <v>South</v>
      </c>
    </row>
    <row r="5" spans="1:17" x14ac:dyDescent="0.3">
      <c r="A5" s="11" t="s">
        <v>12</v>
      </c>
      <c r="B5" s="3">
        <v>45887</v>
      </c>
      <c r="C5" s="2" t="s">
        <v>132</v>
      </c>
      <c r="D5" s="2" t="s">
        <v>141</v>
      </c>
      <c r="E5" s="2" t="s">
        <v>150</v>
      </c>
      <c r="F5" s="2" t="s">
        <v>154</v>
      </c>
      <c r="G5" s="2">
        <v>3</v>
      </c>
      <c r="H5" s="13">
        <v>7650</v>
      </c>
      <c r="I5" s="13">
        <v>612</v>
      </c>
      <c r="O5" t="str">
        <f t="shared" si="0"/>
        <v>Sneha Kapoor</v>
      </c>
      <c r="P5" t="str">
        <f t="shared" si="1"/>
        <v>Furniture</v>
      </c>
      <c r="Q5" t="str">
        <f t="shared" si="2"/>
        <v>East</v>
      </c>
    </row>
    <row r="6" spans="1:17" x14ac:dyDescent="0.3">
      <c r="A6" s="11" t="s">
        <v>13</v>
      </c>
      <c r="B6" s="3">
        <v>45737</v>
      </c>
      <c r="C6" s="2" t="s">
        <v>129</v>
      </c>
      <c r="D6" s="2" t="s">
        <v>142</v>
      </c>
      <c r="E6" s="2" t="s">
        <v>150</v>
      </c>
      <c r="F6" s="2" t="s">
        <v>155</v>
      </c>
      <c r="G6" s="2">
        <v>2</v>
      </c>
      <c r="H6" s="13">
        <v>24000</v>
      </c>
      <c r="I6" s="13">
        <v>1440</v>
      </c>
      <c r="O6" t="str">
        <f t="shared" si="0"/>
        <v>Riya Gupta</v>
      </c>
      <c r="P6" t="str">
        <f t="shared" si="1"/>
        <v>Furniture</v>
      </c>
      <c r="Q6" t="str">
        <f t="shared" si="2"/>
        <v>West</v>
      </c>
    </row>
    <row r="7" spans="1:17" x14ac:dyDescent="0.3">
      <c r="A7" s="11" t="s">
        <v>14</v>
      </c>
      <c r="B7" s="3">
        <v>45841</v>
      </c>
      <c r="C7" s="2" t="s">
        <v>133</v>
      </c>
      <c r="D7" s="2" t="s">
        <v>139</v>
      </c>
      <c r="E7" s="2" t="s">
        <v>149</v>
      </c>
      <c r="F7" s="2" t="s">
        <v>154</v>
      </c>
      <c r="G7" s="2">
        <v>3</v>
      </c>
      <c r="H7" s="13">
        <v>56700</v>
      </c>
      <c r="I7" s="13">
        <v>5670</v>
      </c>
      <c r="O7" t="str">
        <f t="shared" si="0"/>
        <v>Priya Mehta</v>
      </c>
      <c r="P7" t="str">
        <f t="shared" si="1"/>
        <v>Electronics</v>
      </c>
      <c r="Q7" t="str">
        <f t="shared" si="2"/>
        <v>East</v>
      </c>
    </row>
    <row r="8" spans="1:17" x14ac:dyDescent="0.3">
      <c r="A8" s="11" t="s">
        <v>15</v>
      </c>
      <c r="B8" s="3">
        <v>45721</v>
      </c>
      <c r="C8" s="2" t="s">
        <v>131</v>
      </c>
      <c r="D8" s="2" t="s">
        <v>143</v>
      </c>
      <c r="E8" s="2" t="s">
        <v>149</v>
      </c>
      <c r="F8" s="2" t="s">
        <v>154</v>
      </c>
      <c r="G8" s="2">
        <v>4</v>
      </c>
      <c r="H8" s="13">
        <v>204000</v>
      </c>
      <c r="I8" s="13">
        <v>30600</v>
      </c>
      <c r="O8" t="str">
        <f t="shared" si="0"/>
        <v>Simran Kaur</v>
      </c>
      <c r="P8" t="str">
        <f t="shared" si="1"/>
        <v>Electronics</v>
      </c>
      <c r="Q8" t="str">
        <f t="shared" si="2"/>
        <v>East</v>
      </c>
    </row>
    <row r="9" spans="1:17" x14ac:dyDescent="0.3">
      <c r="A9" s="11" t="s">
        <v>16</v>
      </c>
      <c r="B9" s="3">
        <v>45756</v>
      </c>
      <c r="C9" s="2" t="s">
        <v>130</v>
      </c>
      <c r="D9" s="2" t="s">
        <v>144</v>
      </c>
      <c r="E9" s="2" t="s">
        <v>149</v>
      </c>
      <c r="F9" s="2" t="s">
        <v>155</v>
      </c>
      <c r="G9" s="2">
        <v>1</v>
      </c>
      <c r="H9" s="13">
        <v>1275</v>
      </c>
      <c r="I9" s="13">
        <v>229.5</v>
      </c>
      <c r="O9" t="str">
        <f t="shared" si="0"/>
        <v>Vikas Jain</v>
      </c>
      <c r="P9" t="str">
        <f t="shared" si="1"/>
        <v>Electronics</v>
      </c>
      <c r="Q9" t="str">
        <f t="shared" si="2"/>
        <v>West</v>
      </c>
    </row>
    <row r="10" spans="1:17" x14ac:dyDescent="0.3">
      <c r="A10" s="11" t="s">
        <v>17</v>
      </c>
      <c r="B10" s="3">
        <v>45777</v>
      </c>
      <c r="C10" s="2" t="s">
        <v>133</v>
      </c>
      <c r="D10" s="2" t="s">
        <v>140</v>
      </c>
      <c r="E10" s="2" t="s">
        <v>149</v>
      </c>
      <c r="F10" s="2" t="s">
        <v>155</v>
      </c>
      <c r="G10" s="2">
        <v>1</v>
      </c>
      <c r="H10" s="13">
        <v>2500</v>
      </c>
      <c r="I10" s="13">
        <v>250</v>
      </c>
      <c r="O10" t="str">
        <f t="shared" si="0"/>
        <v>Priya Mehta</v>
      </c>
      <c r="P10" t="str">
        <f t="shared" si="1"/>
        <v>Electronics</v>
      </c>
      <c r="Q10" t="str">
        <f t="shared" si="2"/>
        <v>West</v>
      </c>
    </row>
    <row r="11" spans="1:17" x14ac:dyDescent="0.3">
      <c r="A11" s="11" t="s">
        <v>18</v>
      </c>
      <c r="B11" s="3">
        <v>45847</v>
      </c>
      <c r="C11" s="2" t="s">
        <v>134</v>
      </c>
      <c r="D11" s="2" t="s">
        <v>145</v>
      </c>
      <c r="E11" s="2" t="s">
        <v>150</v>
      </c>
      <c r="F11" s="2" t="s">
        <v>155</v>
      </c>
      <c r="G11" s="2">
        <v>3</v>
      </c>
      <c r="H11" s="13">
        <v>67500</v>
      </c>
      <c r="I11" s="13">
        <v>12150</v>
      </c>
      <c r="O11" t="str">
        <f t="shared" si="0"/>
        <v>Amit Verma</v>
      </c>
      <c r="P11" t="str">
        <f t="shared" si="1"/>
        <v>Furniture</v>
      </c>
      <c r="Q11" t="str">
        <f t="shared" si="2"/>
        <v>West</v>
      </c>
    </row>
    <row r="12" spans="1:17" x14ac:dyDescent="0.3">
      <c r="A12" s="11" t="s">
        <v>19</v>
      </c>
      <c r="B12" s="3">
        <v>45983</v>
      </c>
      <c r="C12" s="2" t="s">
        <v>130</v>
      </c>
      <c r="D12" s="2" t="s">
        <v>144</v>
      </c>
      <c r="E12" s="2" t="s">
        <v>149</v>
      </c>
      <c r="F12" s="2" t="s">
        <v>152</v>
      </c>
      <c r="G12" s="2">
        <v>2</v>
      </c>
      <c r="H12" s="13">
        <v>3150</v>
      </c>
      <c r="I12" s="13">
        <v>567</v>
      </c>
      <c r="O12" t="str">
        <f t="shared" si="0"/>
        <v>Vikas Jain</v>
      </c>
      <c r="P12" t="str">
        <f t="shared" si="1"/>
        <v>Electronics</v>
      </c>
      <c r="Q12" t="str">
        <f t="shared" si="2"/>
        <v>North</v>
      </c>
    </row>
    <row r="13" spans="1:17" x14ac:dyDescent="0.3">
      <c r="A13" s="11" t="s">
        <v>20</v>
      </c>
      <c r="B13" s="3">
        <v>45852</v>
      </c>
      <c r="C13" s="2" t="s">
        <v>135</v>
      </c>
      <c r="D13" s="2" t="s">
        <v>140</v>
      </c>
      <c r="E13" s="2" t="s">
        <v>149</v>
      </c>
      <c r="F13" s="2" t="s">
        <v>153</v>
      </c>
      <c r="G13" s="2">
        <v>3</v>
      </c>
      <c r="H13" s="13">
        <v>8250</v>
      </c>
      <c r="I13" s="13">
        <v>1485</v>
      </c>
      <c r="O13" t="str">
        <f t="shared" si="0"/>
        <v>Karan Arora</v>
      </c>
      <c r="P13" t="str">
        <f t="shared" si="1"/>
        <v>Electronics</v>
      </c>
      <c r="Q13" t="str">
        <f t="shared" si="2"/>
        <v>South</v>
      </c>
    </row>
    <row r="14" spans="1:17" x14ac:dyDescent="0.3">
      <c r="A14" s="11" t="s">
        <v>21</v>
      </c>
      <c r="B14" s="3">
        <v>45686</v>
      </c>
      <c r="C14" s="2" t="s">
        <v>136</v>
      </c>
      <c r="D14" s="2" t="s">
        <v>141</v>
      </c>
      <c r="E14" s="2" t="s">
        <v>150</v>
      </c>
      <c r="F14" s="2" t="s">
        <v>153</v>
      </c>
      <c r="G14" s="2">
        <v>2</v>
      </c>
      <c r="H14" s="13">
        <v>5100</v>
      </c>
      <c r="I14" s="13">
        <v>510</v>
      </c>
      <c r="O14" t="str">
        <f t="shared" si="0"/>
        <v>Arjun Malhotra</v>
      </c>
      <c r="P14" t="str">
        <f t="shared" si="1"/>
        <v>Furniture</v>
      </c>
      <c r="Q14" t="str">
        <f t="shared" si="2"/>
        <v>South</v>
      </c>
    </row>
    <row r="15" spans="1:17" x14ac:dyDescent="0.3">
      <c r="A15" s="11" t="s">
        <v>22</v>
      </c>
      <c r="B15" s="3">
        <v>45766</v>
      </c>
      <c r="C15" s="2" t="s">
        <v>133</v>
      </c>
      <c r="D15" s="2" t="s">
        <v>142</v>
      </c>
      <c r="E15" s="2" t="s">
        <v>150</v>
      </c>
      <c r="F15" s="2" t="s">
        <v>155</v>
      </c>
      <c r="G15" s="2">
        <v>3</v>
      </c>
      <c r="H15" s="13">
        <v>32400</v>
      </c>
      <c r="I15" s="13">
        <v>5832</v>
      </c>
      <c r="O15" t="str">
        <f t="shared" si="0"/>
        <v>Priya Mehta</v>
      </c>
      <c r="P15" t="str">
        <f t="shared" si="1"/>
        <v>Furniture</v>
      </c>
      <c r="Q15" t="str">
        <f t="shared" si="2"/>
        <v>West</v>
      </c>
    </row>
    <row r="16" spans="1:17" x14ac:dyDescent="0.3">
      <c r="A16" s="11" t="s">
        <v>23</v>
      </c>
      <c r="B16" s="3">
        <v>45731</v>
      </c>
      <c r="C16" s="2" t="s">
        <v>135</v>
      </c>
      <c r="D16" s="2" t="s">
        <v>145</v>
      </c>
      <c r="E16" s="2" t="s">
        <v>150</v>
      </c>
      <c r="F16" s="2" t="s">
        <v>154</v>
      </c>
      <c r="G16" s="2">
        <v>3</v>
      </c>
      <c r="H16" s="13">
        <v>67500</v>
      </c>
      <c r="I16" s="13">
        <v>5400</v>
      </c>
      <c r="O16" t="str">
        <f t="shared" si="0"/>
        <v>Karan Arora</v>
      </c>
      <c r="P16" t="str">
        <f t="shared" si="1"/>
        <v>Furniture</v>
      </c>
      <c r="Q16" t="str">
        <f t="shared" si="2"/>
        <v>East</v>
      </c>
    </row>
    <row r="17" spans="1:17" x14ac:dyDescent="0.3">
      <c r="A17" s="11" t="s">
        <v>24</v>
      </c>
      <c r="B17" s="3">
        <v>45877</v>
      </c>
      <c r="C17" s="2" t="s">
        <v>130</v>
      </c>
      <c r="D17" s="2" t="s">
        <v>141</v>
      </c>
      <c r="E17" s="2" t="s">
        <v>150</v>
      </c>
      <c r="F17" s="2" t="s">
        <v>155</v>
      </c>
      <c r="G17" s="2">
        <v>4</v>
      </c>
      <c r="H17" s="13">
        <v>12000</v>
      </c>
      <c r="I17" s="13">
        <v>960</v>
      </c>
      <c r="O17" t="str">
        <f t="shared" si="0"/>
        <v>Vikas Jain</v>
      </c>
      <c r="P17" t="str">
        <f t="shared" si="1"/>
        <v>Furniture</v>
      </c>
      <c r="Q17" t="str">
        <f t="shared" si="2"/>
        <v>West</v>
      </c>
    </row>
    <row r="18" spans="1:17" x14ac:dyDescent="0.3">
      <c r="A18" s="11" t="s">
        <v>25</v>
      </c>
      <c r="B18" s="3">
        <v>45682</v>
      </c>
      <c r="C18" s="2" t="s">
        <v>133</v>
      </c>
      <c r="D18" s="2" t="s">
        <v>146</v>
      </c>
      <c r="E18" s="2" t="s">
        <v>149</v>
      </c>
      <c r="F18" s="2" t="s">
        <v>154</v>
      </c>
      <c r="G18" s="2">
        <v>1</v>
      </c>
      <c r="H18" s="13">
        <v>27000</v>
      </c>
      <c r="I18" s="13">
        <v>4860</v>
      </c>
      <c r="O18" t="str">
        <f t="shared" si="0"/>
        <v>Priya Mehta</v>
      </c>
      <c r="P18" t="str">
        <f t="shared" si="1"/>
        <v>Electronics</v>
      </c>
      <c r="Q18" t="str">
        <f t="shared" si="2"/>
        <v>East</v>
      </c>
    </row>
    <row r="19" spans="1:17" x14ac:dyDescent="0.3">
      <c r="A19" s="11" t="s">
        <v>26</v>
      </c>
      <c r="B19" s="3">
        <v>45690</v>
      </c>
      <c r="C19" s="2" t="s">
        <v>130</v>
      </c>
      <c r="D19" s="2" t="s">
        <v>146</v>
      </c>
      <c r="E19" s="2" t="s">
        <v>149</v>
      </c>
      <c r="F19" s="2" t="s">
        <v>154</v>
      </c>
      <c r="G19" s="2">
        <v>4</v>
      </c>
      <c r="H19" s="13">
        <v>120000</v>
      </c>
      <c r="I19" s="13">
        <v>18000</v>
      </c>
      <c r="O19" t="str">
        <f t="shared" si="0"/>
        <v>Vikas Jain</v>
      </c>
      <c r="P19" t="str">
        <f t="shared" si="1"/>
        <v>Electronics</v>
      </c>
      <c r="Q19" t="str">
        <f t="shared" si="2"/>
        <v>East</v>
      </c>
    </row>
    <row r="20" spans="1:17" x14ac:dyDescent="0.3">
      <c r="A20" s="11" t="s">
        <v>27</v>
      </c>
      <c r="B20" s="3">
        <v>45663</v>
      </c>
      <c r="C20" s="2" t="s">
        <v>131</v>
      </c>
      <c r="D20" s="2" t="s">
        <v>145</v>
      </c>
      <c r="E20" s="2" t="s">
        <v>150</v>
      </c>
      <c r="F20" s="2" t="s">
        <v>152</v>
      </c>
      <c r="G20" s="2">
        <v>1</v>
      </c>
      <c r="H20" s="13">
        <v>27500</v>
      </c>
      <c r="I20" s="13">
        <v>4125</v>
      </c>
      <c r="O20" t="str">
        <f t="shared" si="0"/>
        <v>Simran Kaur</v>
      </c>
      <c r="P20" t="str">
        <f t="shared" si="1"/>
        <v>Furniture</v>
      </c>
      <c r="Q20" t="str">
        <f t="shared" si="2"/>
        <v>North</v>
      </c>
    </row>
    <row r="21" spans="1:17" x14ac:dyDescent="0.3">
      <c r="A21" s="11" t="s">
        <v>28</v>
      </c>
      <c r="B21" s="3">
        <v>45808</v>
      </c>
      <c r="C21" s="2" t="s">
        <v>133</v>
      </c>
      <c r="D21" s="2" t="s">
        <v>144</v>
      </c>
      <c r="E21" s="2" t="s">
        <v>149</v>
      </c>
      <c r="F21" s="2" t="s">
        <v>155</v>
      </c>
      <c r="G21" s="2">
        <v>4</v>
      </c>
      <c r="H21" s="13">
        <v>5400</v>
      </c>
      <c r="I21" s="13">
        <v>648</v>
      </c>
      <c r="O21" t="str">
        <f t="shared" si="0"/>
        <v>Priya Mehta</v>
      </c>
      <c r="P21" t="str">
        <f t="shared" si="1"/>
        <v>Electronics</v>
      </c>
      <c r="Q21" t="str">
        <f t="shared" si="2"/>
        <v>West</v>
      </c>
    </row>
    <row r="22" spans="1:17" x14ac:dyDescent="0.3">
      <c r="A22" s="11" t="s">
        <v>29</v>
      </c>
      <c r="B22" s="3">
        <v>45749</v>
      </c>
      <c r="C22" s="2" t="s">
        <v>131</v>
      </c>
      <c r="D22" s="2" t="s">
        <v>143</v>
      </c>
      <c r="E22" s="2" t="s">
        <v>149</v>
      </c>
      <c r="F22" s="2" t="s">
        <v>155</v>
      </c>
      <c r="G22" s="2">
        <v>1</v>
      </c>
      <c r="H22" s="13">
        <v>66000</v>
      </c>
      <c r="I22" s="13">
        <v>6600</v>
      </c>
      <c r="O22" t="str">
        <f t="shared" si="0"/>
        <v>Simran Kaur</v>
      </c>
      <c r="P22" t="str">
        <f t="shared" si="1"/>
        <v>Electronics</v>
      </c>
      <c r="Q22" t="str">
        <f t="shared" si="2"/>
        <v>West</v>
      </c>
    </row>
    <row r="23" spans="1:17" x14ac:dyDescent="0.3">
      <c r="A23" s="11" t="s">
        <v>30</v>
      </c>
      <c r="B23" s="3">
        <v>45849</v>
      </c>
      <c r="C23" s="2" t="s">
        <v>134</v>
      </c>
      <c r="D23" s="2" t="s">
        <v>141</v>
      </c>
      <c r="E23" s="2" t="s">
        <v>150</v>
      </c>
      <c r="F23" s="2" t="s">
        <v>153</v>
      </c>
      <c r="G23" s="2">
        <v>2</v>
      </c>
      <c r="H23" s="13">
        <v>6300</v>
      </c>
      <c r="I23" s="13">
        <v>945</v>
      </c>
      <c r="O23" t="str">
        <f t="shared" si="0"/>
        <v>Amit Verma</v>
      </c>
      <c r="P23" t="str">
        <f t="shared" si="1"/>
        <v>Furniture</v>
      </c>
      <c r="Q23" t="str">
        <f t="shared" si="2"/>
        <v>South</v>
      </c>
    </row>
    <row r="24" spans="1:17" x14ac:dyDescent="0.3">
      <c r="A24" s="11" t="s">
        <v>31</v>
      </c>
      <c r="B24" s="3">
        <v>45667</v>
      </c>
      <c r="C24" s="2" t="s">
        <v>135</v>
      </c>
      <c r="D24" s="2" t="s">
        <v>143</v>
      </c>
      <c r="E24" s="2" t="s">
        <v>149</v>
      </c>
      <c r="F24" s="2" t="s">
        <v>155</v>
      </c>
      <c r="G24" s="2">
        <v>1</v>
      </c>
      <c r="H24" s="13">
        <v>60000</v>
      </c>
      <c r="I24" s="13">
        <v>6000</v>
      </c>
      <c r="O24" t="str">
        <f t="shared" si="0"/>
        <v>Karan Arora</v>
      </c>
      <c r="P24" t="str">
        <f t="shared" si="1"/>
        <v>Electronics</v>
      </c>
      <c r="Q24" t="str">
        <f t="shared" si="2"/>
        <v>West</v>
      </c>
    </row>
    <row r="25" spans="1:17" x14ac:dyDescent="0.3">
      <c r="A25" s="11" t="s">
        <v>32</v>
      </c>
      <c r="B25" s="3">
        <v>45948</v>
      </c>
      <c r="C25" s="2" t="s">
        <v>132</v>
      </c>
      <c r="D25" s="2" t="s">
        <v>140</v>
      </c>
      <c r="E25" s="2" t="s">
        <v>149</v>
      </c>
      <c r="F25" s="2" t="s">
        <v>152</v>
      </c>
      <c r="G25" s="2">
        <v>1</v>
      </c>
      <c r="H25" s="13">
        <v>2125</v>
      </c>
      <c r="I25" s="13">
        <v>382.5</v>
      </c>
      <c r="O25" t="str">
        <f t="shared" si="0"/>
        <v>Sneha Kapoor</v>
      </c>
      <c r="P25" t="str">
        <f t="shared" si="1"/>
        <v>Electronics</v>
      </c>
      <c r="Q25" t="str">
        <f t="shared" si="2"/>
        <v>North</v>
      </c>
    </row>
    <row r="26" spans="1:17" x14ac:dyDescent="0.3">
      <c r="A26" s="11" t="s">
        <v>33</v>
      </c>
      <c r="B26" s="3">
        <v>45722</v>
      </c>
      <c r="C26" s="2" t="s">
        <v>131</v>
      </c>
      <c r="D26" s="2" t="s">
        <v>145</v>
      </c>
      <c r="E26" s="2" t="s">
        <v>150</v>
      </c>
      <c r="F26" s="2" t="s">
        <v>152</v>
      </c>
      <c r="G26" s="2">
        <v>2</v>
      </c>
      <c r="H26" s="13">
        <v>55000</v>
      </c>
      <c r="I26" s="13">
        <v>6600</v>
      </c>
      <c r="O26" t="str">
        <f t="shared" si="0"/>
        <v>Simran Kaur</v>
      </c>
      <c r="P26" t="str">
        <f t="shared" si="1"/>
        <v>Furniture</v>
      </c>
      <c r="Q26" t="str">
        <f t="shared" si="2"/>
        <v>North</v>
      </c>
    </row>
    <row r="27" spans="1:17" x14ac:dyDescent="0.3">
      <c r="A27" s="11" t="s">
        <v>34</v>
      </c>
      <c r="B27" s="3">
        <v>45928</v>
      </c>
      <c r="C27" s="2" t="s">
        <v>129</v>
      </c>
      <c r="D27" s="2" t="s">
        <v>141</v>
      </c>
      <c r="E27" s="2" t="s">
        <v>150</v>
      </c>
      <c r="F27" s="2" t="s">
        <v>153</v>
      </c>
      <c r="G27" s="2">
        <v>4</v>
      </c>
      <c r="H27" s="13">
        <v>10800</v>
      </c>
      <c r="I27" s="13">
        <v>1620</v>
      </c>
      <c r="O27" t="str">
        <f t="shared" si="0"/>
        <v>Riya Gupta</v>
      </c>
      <c r="P27" t="str">
        <f t="shared" si="1"/>
        <v>Furniture</v>
      </c>
      <c r="Q27" t="str">
        <f t="shared" si="2"/>
        <v>South</v>
      </c>
    </row>
    <row r="28" spans="1:17" x14ac:dyDescent="0.3">
      <c r="A28" s="11" t="s">
        <v>35</v>
      </c>
      <c r="B28" s="3">
        <v>46001</v>
      </c>
      <c r="C28" s="2" t="s">
        <v>137</v>
      </c>
      <c r="D28" s="2" t="s">
        <v>140</v>
      </c>
      <c r="E28" s="2" t="s">
        <v>149</v>
      </c>
      <c r="F28" s="2" t="s">
        <v>155</v>
      </c>
      <c r="G28" s="2">
        <v>3</v>
      </c>
      <c r="H28" s="13">
        <v>7500</v>
      </c>
      <c r="I28" s="13">
        <v>1125</v>
      </c>
      <c r="O28" t="str">
        <f t="shared" si="0"/>
        <v>Neha Singh</v>
      </c>
      <c r="P28" t="str">
        <f t="shared" si="1"/>
        <v>Electronics</v>
      </c>
      <c r="Q28" t="str">
        <f t="shared" si="2"/>
        <v>West</v>
      </c>
    </row>
    <row r="29" spans="1:17" x14ac:dyDescent="0.3">
      <c r="A29" s="11" t="s">
        <v>36</v>
      </c>
      <c r="B29" s="3">
        <v>45773</v>
      </c>
      <c r="C29" s="2" t="s">
        <v>132</v>
      </c>
      <c r="D29" s="2" t="s">
        <v>145</v>
      </c>
      <c r="E29" s="2" t="s">
        <v>150</v>
      </c>
      <c r="F29" s="2" t="s">
        <v>152</v>
      </c>
      <c r="G29" s="2">
        <v>1</v>
      </c>
      <c r="H29" s="13">
        <v>25000</v>
      </c>
      <c r="I29" s="13">
        <v>1500</v>
      </c>
      <c r="O29" t="str">
        <f t="shared" si="0"/>
        <v>Sneha Kapoor</v>
      </c>
      <c r="P29" t="str">
        <f t="shared" si="1"/>
        <v>Furniture</v>
      </c>
      <c r="Q29" t="str">
        <f t="shared" si="2"/>
        <v>North</v>
      </c>
    </row>
    <row r="30" spans="1:17" x14ac:dyDescent="0.3">
      <c r="A30" s="11" t="s">
        <v>37</v>
      </c>
      <c r="B30" s="3">
        <v>45770</v>
      </c>
      <c r="C30" s="2" t="s">
        <v>130</v>
      </c>
      <c r="D30" s="2" t="s">
        <v>147</v>
      </c>
      <c r="E30" s="2" t="s">
        <v>150</v>
      </c>
      <c r="F30" s="2" t="s">
        <v>153</v>
      </c>
      <c r="G30" s="2">
        <v>1</v>
      </c>
      <c r="H30" s="13">
        <v>7650</v>
      </c>
      <c r="I30" s="13">
        <v>1377</v>
      </c>
      <c r="O30" t="str">
        <f t="shared" si="0"/>
        <v>Vikas Jain</v>
      </c>
      <c r="P30" t="str">
        <f t="shared" si="1"/>
        <v>Furniture</v>
      </c>
      <c r="Q30" t="str">
        <f t="shared" si="2"/>
        <v>South</v>
      </c>
    </row>
    <row r="31" spans="1:17" x14ac:dyDescent="0.3">
      <c r="A31" s="11" t="s">
        <v>38</v>
      </c>
      <c r="B31" s="3">
        <v>45674</v>
      </c>
      <c r="C31" s="2" t="s">
        <v>133</v>
      </c>
      <c r="D31" s="2" t="s">
        <v>143</v>
      </c>
      <c r="E31" s="2" t="s">
        <v>149</v>
      </c>
      <c r="F31" s="2" t="s">
        <v>153</v>
      </c>
      <c r="G31" s="2">
        <v>3</v>
      </c>
      <c r="H31" s="13">
        <v>153000</v>
      </c>
      <c r="I31" s="13">
        <v>22950</v>
      </c>
      <c r="O31" t="str">
        <f t="shared" si="0"/>
        <v>Priya Mehta</v>
      </c>
      <c r="P31" t="str">
        <f t="shared" si="1"/>
        <v>Electronics</v>
      </c>
      <c r="Q31" t="str">
        <f t="shared" si="2"/>
        <v>South</v>
      </c>
    </row>
    <row r="32" spans="1:17" x14ac:dyDescent="0.3">
      <c r="A32" s="11" t="s">
        <v>39</v>
      </c>
      <c r="B32" s="3">
        <v>45767</v>
      </c>
      <c r="C32" s="2" t="s">
        <v>135</v>
      </c>
      <c r="D32" s="2" t="s">
        <v>140</v>
      </c>
      <c r="E32" s="2" t="s">
        <v>149</v>
      </c>
      <c r="F32" s="2" t="s">
        <v>155</v>
      </c>
      <c r="G32" s="2">
        <v>2</v>
      </c>
      <c r="H32" s="13">
        <v>5500</v>
      </c>
      <c r="I32" s="13">
        <v>825</v>
      </c>
      <c r="O32" t="str">
        <f t="shared" si="0"/>
        <v>Karan Arora</v>
      </c>
      <c r="P32" t="str">
        <f t="shared" si="1"/>
        <v>Electronics</v>
      </c>
      <c r="Q32" t="str">
        <f t="shared" si="2"/>
        <v>West</v>
      </c>
    </row>
    <row r="33" spans="1:17" x14ac:dyDescent="0.3">
      <c r="A33" s="11" t="s">
        <v>40</v>
      </c>
      <c r="B33" s="3">
        <v>45900</v>
      </c>
      <c r="C33" s="2" t="s">
        <v>132</v>
      </c>
      <c r="D33" s="2" t="s">
        <v>147</v>
      </c>
      <c r="E33" s="2" t="s">
        <v>149</v>
      </c>
      <c r="F33" s="2" t="s">
        <v>154</v>
      </c>
      <c r="G33" s="2">
        <v>4</v>
      </c>
      <c r="H33" s="13">
        <v>32400</v>
      </c>
      <c r="I33" s="13">
        <v>1944</v>
      </c>
      <c r="O33" t="str">
        <f t="shared" si="0"/>
        <v>Sneha Kapoor</v>
      </c>
      <c r="P33" t="str">
        <f t="shared" si="1"/>
        <v>Electronics</v>
      </c>
      <c r="Q33" t="str">
        <f t="shared" si="2"/>
        <v>East</v>
      </c>
    </row>
    <row r="34" spans="1:17" x14ac:dyDescent="0.3">
      <c r="A34" s="11" t="s">
        <v>41</v>
      </c>
      <c r="B34" s="3">
        <v>45874</v>
      </c>
      <c r="C34" s="2" t="s">
        <v>136</v>
      </c>
      <c r="D34" s="2" t="s">
        <v>139</v>
      </c>
      <c r="E34" s="2" t="s">
        <v>149</v>
      </c>
      <c r="F34" s="2" t="s">
        <v>154</v>
      </c>
      <c r="G34" s="2">
        <v>4</v>
      </c>
      <c r="H34" s="13">
        <v>72000</v>
      </c>
      <c r="I34" s="13">
        <v>12960</v>
      </c>
      <c r="O34" t="str">
        <f t="shared" si="0"/>
        <v>Arjun Malhotra</v>
      </c>
      <c r="P34" t="str">
        <f t="shared" si="1"/>
        <v>Electronics</v>
      </c>
      <c r="Q34" t="str">
        <f t="shared" si="2"/>
        <v>East</v>
      </c>
    </row>
    <row r="35" spans="1:17" x14ac:dyDescent="0.3">
      <c r="A35" s="11" t="s">
        <v>42</v>
      </c>
      <c r="B35" s="3">
        <v>45864</v>
      </c>
      <c r="C35" s="2" t="s">
        <v>138</v>
      </c>
      <c r="D35" s="2" t="s">
        <v>143</v>
      </c>
      <c r="E35" s="2" t="s">
        <v>149</v>
      </c>
      <c r="F35" s="2" t="s">
        <v>152</v>
      </c>
      <c r="G35" s="2">
        <v>3</v>
      </c>
      <c r="H35" s="13">
        <v>153000</v>
      </c>
      <c r="I35" s="13">
        <v>12240</v>
      </c>
      <c r="O35" t="str">
        <f t="shared" si="0"/>
        <v>Rahul Sharma</v>
      </c>
      <c r="P35" t="str">
        <f t="shared" si="1"/>
        <v>Electronics</v>
      </c>
      <c r="Q35" t="str">
        <f t="shared" si="2"/>
        <v>North</v>
      </c>
    </row>
    <row r="36" spans="1:17" x14ac:dyDescent="0.3">
      <c r="A36" s="11" t="s">
        <v>43</v>
      </c>
      <c r="B36" s="3">
        <v>45887</v>
      </c>
      <c r="C36" s="2" t="s">
        <v>131</v>
      </c>
      <c r="D36" s="2" t="s">
        <v>140</v>
      </c>
      <c r="E36" s="2" t="s">
        <v>149</v>
      </c>
      <c r="F36" s="2" t="s">
        <v>153</v>
      </c>
      <c r="G36" s="2">
        <v>2</v>
      </c>
      <c r="H36" s="13">
        <v>5000</v>
      </c>
      <c r="I36" s="13">
        <v>400</v>
      </c>
      <c r="O36" t="str">
        <f t="shared" si="0"/>
        <v>Simran Kaur</v>
      </c>
      <c r="P36" t="str">
        <f t="shared" si="1"/>
        <v>Electronics</v>
      </c>
      <c r="Q36" t="str">
        <f t="shared" si="2"/>
        <v>South</v>
      </c>
    </row>
    <row r="37" spans="1:17" x14ac:dyDescent="0.3">
      <c r="A37" s="11" t="s">
        <v>44</v>
      </c>
      <c r="B37" s="3">
        <v>45696</v>
      </c>
      <c r="C37" s="2" t="s">
        <v>132</v>
      </c>
      <c r="D37" s="2" t="s">
        <v>144</v>
      </c>
      <c r="E37" s="2" t="s">
        <v>149</v>
      </c>
      <c r="F37" s="2" t="s">
        <v>154</v>
      </c>
      <c r="G37" s="2">
        <v>4</v>
      </c>
      <c r="H37" s="13">
        <v>6300</v>
      </c>
      <c r="I37" s="13">
        <v>378</v>
      </c>
      <c r="O37" t="str">
        <f t="shared" si="0"/>
        <v>Sneha Kapoor</v>
      </c>
      <c r="P37" t="str">
        <f t="shared" si="1"/>
        <v>Electronics</v>
      </c>
      <c r="Q37" t="str">
        <f t="shared" si="2"/>
        <v>East</v>
      </c>
    </row>
    <row r="38" spans="1:17" x14ac:dyDescent="0.3">
      <c r="A38" s="11" t="s">
        <v>45</v>
      </c>
      <c r="B38" s="3">
        <v>45779</v>
      </c>
      <c r="C38" s="2" t="s">
        <v>133</v>
      </c>
      <c r="D38" s="2" t="s">
        <v>143</v>
      </c>
      <c r="E38" s="2" t="s">
        <v>149</v>
      </c>
      <c r="F38" s="2" t="s">
        <v>152</v>
      </c>
      <c r="G38" s="2">
        <v>2</v>
      </c>
      <c r="H38" s="13">
        <v>120000</v>
      </c>
      <c r="I38" s="13">
        <v>14400</v>
      </c>
      <c r="O38" t="str">
        <f t="shared" si="0"/>
        <v>Priya Mehta</v>
      </c>
      <c r="P38" t="str">
        <f t="shared" si="1"/>
        <v>Electronics</v>
      </c>
      <c r="Q38" t="str">
        <f t="shared" si="2"/>
        <v>North</v>
      </c>
    </row>
    <row r="39" spans="1:17" x14ac:dyDescent="0.3">
      <c r="A39" s="11" t="s">
        <v>46</v>
      </c>
      <c r="B39" s="3">
        <v>45688</v>
      </c>
      <c r="C39" s="2" t="s">
        <v>137</v>
      </c>
      <c r="D39" s="2" t="s">
        <v>145</v>
      </c>
      <c r="E39" s="2" t="s">
        <v>150</v>
      </c>
      <c r="F39" s="2" t="s">
        <v>153</v>
      </c>
      <c r="G39" s="2">
        <v>2</v>
      </c>
      <c r="H39" s="13">
        <v>50000</v>
      </c>
      <c r="I39" s="13">
        <v>3000</v>
      </c>
      <c r="O39" t="str">
        <f t="shared" si="0"/>
        <v>Neha Singh</v>
      </c>
      <c r="P39" t="str">
        <f t="shared" si="1"/>
        <v>Furniture</v>
      </c>
      <c r="Q39" t="str">
        <f t="shared" si="2"/>
        <v>South</v>
      </c>
    </row>
    <row r="40" spans="1:17" x14ac:dyDescent="0.3">
      <c r="A40" s="11" t="s">
        <v>47</v>
      </c>
      <c r="B40" s="3">
        <v>45804</v>
      </c>
      <c r="C40" s="2" t="s">
        <v>135</v>
      </c>
      <c r="D40" s="2" t="s">
        <v>142</v>
      </c>
      <c r="E40" s="2" t="s">
        <v>150</v>
      </c>
      <c r="F40" s="2" t="s">
        <v>155</v>
      </c>
      <c r="G40" s="2">
        <v>4</v>
      </c>
      <c r="H40" s="13">
        <v>52800</v>
      </c>
      <c r="I40" s="13">
        <v>9504</v>
      </c>
      <c r="O40" t="str">
        <f t="shared" si="0"/>
        <v>Karan Arora</v>
      </c>
      <c r="P40" t="str">
        <f t="shared" si="1"/>
        <v>Furniture</v>
      </c>
      <c r="Q40" t="str">
        <f t="shared" si="2"/>
        <v>West</v>
      </c>
    </row>
    <row r="41" spans="1:17" x14ac:dyDescent="0.3">
      <c r="A41" s="11" t="s">
        <v>48</v>
      </c>
      <c r="B41" s="3">
        <v>45755</v>
      </c>
      <c r="C41" s="2" t="s">
        <v>134</v>
      </c>
      <c r="D41" s="2" t="s">
        <v>141</v>
      </c>
      <c r="E41" s="2" t="s">
        <v>150</v>
      </c>
      <c r="F41" s="2" t="s">
        <v>154</v>
      </c>
      <c r="G41" s="2">
        <v>3</v>
      </c>
      <c r="H41" s="13">
        <v>8100</v>
      </c>
      <c r="I41" s="13">
        <v>486</v>
      </c>
      <c r="O41" t="str">
        <f t="shared" si="0"/>
        <v>Amit Verma</v>
      </c>
      <c r="P41" t="str">
        <f t="shared" si="1"/>
        <v>Furniture</v>
      </c>
      <c r="Q41" t="str">
        <f t="shared" si="2"/>
        <v>East</v>
      </c>
    </row>
    <row r="42" spans="1:17" x14ac:dyDescent="0.3">
      <c r="A42" s="11" t="s">
        <v>49</v>
      </c>
      <c r="B42" s="3">
        <v>45687</v>
      </c>
      <c r="C42" s="2" t="s">
        <v>136</v>
      </c>
      <c r="D42" s="2" t="s">
        <v>147</v>
      </c>
      <c r="E42" s="2" t="s">
        <v>150</v>
      </c>
      <c r="F42" s="2" t="s">
        <v>152</v>
      </c>
      <c r="G42" s="2">
        <v>1</v>
      </c>
      <c r="H42" s="13">
        <v>9450</v>
      </c>
      <c r="I42" s="13">
        <v>1134</v>
      </c>
      <c r="O42" t="str">
        <f t="shared" si="0"/>
        <v>Arjun Malhotra</v>
      </c>
      <c r="P42" t="str">
        <f t="shared" si="1"/>
        <v>Furniture</v>
      </c>
      <c r="Q42" t="str">
        <f t="shared" si="2"/>
        <v>North</v>
      </c>
    </row>
    <row r="43" spans="1:17" x14ac:dyDescent="0.3">
      <c r="A43" s="11" t="s">
        <v>50</v>
      </c>
      <c r="B43" s="3">
        <v>45918</v>
      </c>
      <c r="C43" s="2" t="s">
        <v>138</v>
      </c>
      <c r="D43" s="2" t="s">
        <v>141</v>
      </c>
      <c r="E43" s="2" t="s">
        <v>150</v>
      </c>
      <c r="F43" s="2" t="s">
        <v>153</v>
      </c>
      <c r="G43" s="2">
        <v>1</v>
      </c>
      <c r="H43" s="13">
        <v>2700</v>
      </c>
      <c r="I43" s="13">
        <v>162</v>
      </c>
      <c r="O43" t="str">
        <f t="shared" si="0"/>
        <v>Rahul Sharma</v>
      </c>
      <c r="P43" t="str">
        <f t="shared" si="1"/>
        <v>Furniture</v>
      </c>
      <c r="Q43" t="str">
        <f t="shared" si="2"/>
        <v>South</v>
      </c>
    </row>
    <row r="44" spans="1:17" x14ac:dyDescent="0.3">
      <c r="A44" s="11" t="s">
        <v>51</v>
      </c>
      <c r="B44" s="3">
        <v>45864</v>
      </c>
      <c r="C44" s="2" t="s">
        <v>132</v>
      </c>
      <c r="D44" s="2" t="s">
        <v>147</v>
      </c>
      <c r="E44" s="2" t="s">
        <v>150</v>
      </c>
      <c r="F44" s="2" t="s">
        <v>152</v>
      </c>
      <c r="G44" s="2">
        <v>1</v>
      </c>
      <c r="H44" s="13">
        <v>9450</v>
      </c>
      <c r="I44" s="13">
        <v>756</v>
      </c>
      <c r="O44" t="str">
        <f t="shared" si="0"/>
        <v>Sneha Kapoor</v>
      </c>
      <c r="P44" t="str">
        <f t="shared" si="1"/>
        <v>Furniture</v>
      </c>
      <c r="Q44" t="str">
        <f t="shared" si="2"/>
        <v>North</v>
      </c>
    </row>
    <row r="45" spans="1:17" x14ac:dyDescent="0.3">
      <c r="A45" s="11" t="s">
        <v>52</v>
      </c>
      <c r="B45" s="3">
        <v>45699</v>
      </c>
      <c r="C45" s="2" t="s">
        <v>130</v>
      </c>
      <c r="D45" s="2" t="s">
        <v>147</v>
      </c>
      <c r="E45" s="2" t="s">
        <v>150</v>
      </c>
      <c r="F45" s="2" t="s">
        <v>152</v>
      </c>
      <c r="G45" s="2">
        <v>4</v>
      </c>
      <c r="H45" s="13">
        <v>39600</v>
      </c>
      <c r="I45" s="13">
        <v>5940</v>
      </c>
      <c r="O45" t="str">
        <f t="shared" si="0"/>
        <v>Vikas Jain</v>
      </c>
      <c r="P45" t="str">
        <f t="shared" si="1"/>
        <v>Furniture</v>
      </c>
      <c r="Q45" t="str">
        <f t="shared" si="2"/>
        <v>North</v>
      </c>
    </row>
    <row r="46" spans="1:17" x14ac:dyDescent="0.3">
      <c r="A46" s="11" t="s">
        <v>53</v>
      </c>
      <c r="B46" s="3">
        <v>45762</v>
      </c>
      <c r="C46" s="2" t="s">
        <v>129</v>
      </c>
      <c r="D46" s="2" t="s">
        <v>147</v>
      </c>
      <c r="E46" s="2" t="s">
        <v>150</v>
      </c>
      <c r="F46" s="2" t="s">
        <v>155</v>
      </c>
      <c r="G46" s="2">
        <v>3</v>
      </c>
      <c r="H46" s="13">
        <v>24300</v>
      </c>
      <c r="I46" s="13">
        <v>2430</v>
      </c>
      <c r="O46" t="str">
        <f t="shared" si="0"/>
        <v>Riya Gupta</v>
      </c>
      <c r="P46" t="str">
        <f t="shared" si="1"/>
        <v>Furniture</v>
      </c>
      <c r="Q46" t="str">
        <f t="shared" si="2"/>
        <v>West</v>
      </c>
    </row>
    <row r="47" spans="1:17" x14ac:dyDescent="0.3">
      <c r="A47" s="11" t="s">
        <v>54</v>
      </c>
      <c r="B47" s="3">
        <v>45892</v>
      </c>
      <c r="C47" s="2" t="s">
        <v>129</v>
      </c>
      <c r="D47" s="2" t="s">
        <v>142</v>
      </c>
      <c r="E47" s="2" t="s">
        <v>150</v>
      </c>
      <c r="F47" s="2" t="s">
        <v>153</v>
      </c>
      <c r="G47" s="2">
        <v>3</v>
      </c>
      <c r="H47" s="13"/>
      <c r="I47" s="13">
        <v>1836</v>
      </c>
      <c r="O47" t="str">
        <f t="shared" si="0"/>
        <v>Riya Gupta</v>
      </c>
      <c r="P47" t="str">
        <f t="shared" si="1"/>
        <v>Furniture</v>
      </c>
      <c r="Q47" t="str">
        <f t="shared" si="2"/>
        <v>South</v>
      </c>
    </row>
    <row r="48" spans="1:17" x14ac:dyDescent="0.3">
      <c r="A48" s="11" t="s">
        <v>55</v>
      </c>
      <c r="B48" s="3">
        <v>45933</v>
      </c>
      <c r="C48" s="2" t="s">
        <v>133</v>
      </c>
      <c r="D48" s="2" t="s">
        <v>145</v>
      </c>
      <c r="E48" s="2" t="s">
        <v>150</v>
      </c>
      <c r="F48" s="2" t="s">
        <v>152</v>
      </c>
      <c r="G48" s="2">
        <v>2</v>
      </c>
      <c r="H48" s="13">
        <v>52500</v>
      </c>
      <c r="I48" s="13">
        <v>5250</v>
      </c>
      <c r="O48" t="str">
        <f t="shared" si="0"/>
        <v>Priya Mehta</v>
      </c>
      <c r="P48" t="str">
        <f t="shared" si="1"/>
        <v>Furniture</v>
      </c>
      <c r="Q48" t="str">
        <f t="shared" si="2"/>
        <v>North</v>
      </c>
    </row>
    <row r="49" spans="1:17" x14ac:dyDescent="0.3">
      <c r="A49" s="11" t="s">
        <v>56</v>
      </c>
      <c r="B49" s="3">
        <v>45783</v>
      </c>
      <c r="C49" s="2" t="s">
        <v>133</v>
      </c>
      <c r="D49" s="2" t="s">
        <v>146</v>
      </c>
      <c r="E49" s="2" t="s">
        <v>149</v>
      </c>
      <c r="F49" s="2" t="s">
        <v>155</v>
      </c>
      <c r="G49" s="2">
        <v>3</v>
      </c>
      <c r="H49" s="13">
        <v>90000</v>
      </c>
      <c r="I49" s="13">
        <v>7200</v>
      </c>
      <c r="O49" t="str">
        <f t="shared" si="0"/>
        <v>Priya Mehta</v>
      </c>
      <c r="P49" t="str">
        <f t="shared" si="1"/>
        <v>Electronics</v>
      </c>
      <c r="Q49" t="str">
        <f t="shared" si="2"/>
        <v>West</v>
      </c>
    </row>
    <row r="50" spans="1:17" x14ac:dyDescent="0.3">
      <c r="A50" s="11" t="s">
        <v>57</v>
      </c>
      <c r="B50" s="3">
        <v>45992</v>
      </c>
      <c r="C50" s="2" t="s">
        <v>130</v>
      </c>
      <c r="D50" s="2" t="s">
        <v>145</v>
      </c>
      <c r="E50" s="2" t="s">
        <v>150</v>
      </c>
      <c r="F50" s="2" t="s">
        <v>155</v>
      </c>
      <c r="G50" s="2">
        <v>1</v>
      </c>
      <c r="H50" s="13">
        <v>27500</v>
      </c>
      <c r="I50" s="13">
        <v>4125</v>
      </c>
      <c r="O50" t="str">
        <f t="shared" si="0"/>
        <v>Vikas Jain</v>
      </c>
      <c r="P50" t="str">
        <f t="shared" si="1"/>
        <v>Furniture</v>
      </c>
      <c r="Q50" t="str">
        <f t="shared" si="2"/>
        <v>West</v>
      </c>
    </row>
    <row r="51" spans="1:17" x14ac:dyDescent="0.3">
      <c r="A51" s="11" t="s">
        <v>58</v>
      </c>
      <c r="B51" s="3">
        <v>45793</v>
      </c>
      <c r="C51" s="2" t="s">
        <v>134</v>
      </c>
      <c r="D51" s="2" t="s">
        <v>144</v>
      </c>
      <c r="E51" s="2" t="s">
        <v>149</v>
      </c>
      <c r="F51" s="2" t="s">
        <v>152</v>
      </c>
      <c r="G51" s="2">
        <v>1</v>
      </c>
      <c r="H51" s="13">
        <v>1275</v>
      </c>
      <c r="I51" s="13">
        <v>229.5</v>
      </c>
      <c r="O51" t="str">
        <f t="shared" si="0"/>
        <v>Amit Verma</v>
      </c>
      <c r="P51" t="str">
        <f t="shared" si="1"/>
        <v>Electronics</v>
      </c>
      <c r="Q51" t="str">
        <f t="shared" si="2"/>
        <v>North</v>
      </c>
    </row>
    <row r="52" spans="1:17" x14ac:dyDescent="0.3">
      <c r="A52" s="11" t="s">
        <v>59</v>
      </c>
      <c r="B52" s="3">
        <v>45802</v>
      </c>
      <c r="C52" s="2" t="s">
        <v>129</v>
      </c>
      <c r="D52" s="2" t="s">
        <v>141</v>
      </c>
      <c r="E52" s="2" t="s">
        <v>150</v>
      </c>
      <c r="F52" s="2" t="s">
        <v>153</v>
      </c>
      <c r="G52" s="2">
        <v>2</v>
      </c>
      <c r="H52" s="13">
        <v>6600</v>
      </c>
      <c r="I52" s="13">
        <v>660</v>
      </c>
      <c r="L52" t="b">
        <f>ISNUMBER(H2)</f>
        <v>1</v>
      </c>
      <c r="O52" t="str">
        <f t="shared" si="0"/>
        <v>Riya Gupta</v>
      </c>
      <c r="P52" t="str">
        <f t="shared" si="1"/>
        <v>Furniture</v>
      </c>
      <c r="Q52" t="str">
        <f t="shared" si="2"/>
        <v>South</v>
      </c>
    </row>
    <row r="53" spans="1:17" x14ac:dyDescent="0.3">
      <c r="A53" s="11" t="s">
        <v>60</v>
      </c>
      <c r="B53" s="3">
        <v>45908</v>
      </c>
      <c r="C53" s="2" t="s">
        <v>131</v>
      </c>
      <c r="D53" s="2" t="s">
        <v>140</v>
      </c>
      <c r="E53" s="2" t="s">
        <v>149</v>
      </c>
      <c r="F53" s="2" t="s">
        <v>155</v>
      </c>
      <c r="G53" s="2">
        <v>3</v>
      </c>
      <c r="H53" s="13">
        <v>6375</v>
      </c>
      <c r="I53" s="13">
        <v>382.5</v>
      </c>
      <c r="L53" t="b">
        <f>ISNUMBER(I2)</f>
        <v>1</v>
      </c>
      <c r="O53" t="str">
        <f t="shared" si="0"/>
        <v>Simran Kaur</v>
      </c>
      <c r="P53" t="str">
        <f t="shared" si="1"/>
        <v>Electronics</v>
      </c>
      <c r="Q53" t="str">
        <f t="shared" si="2"/>
        <v>West</v>
      </c>
    </row>
    <row r="54" spans="1:17" x14ac:dyDescent="0.3">
      <c r="A54" s="11" t="s">
        <v>61</v>
      </c>
      <c r="B54" s="3">
        <v>45659</v>
      </c>
      <c r="C54" s="2" t="s">
        <v>138</v>
      </c>
      <c r="D54" s="2" t="s">
        <v>142</v>
      </c>
      <c r="E54" s="2" t="s">
        <v>150</v>
      </c>
      <c r="F54" s="2" t="s">
        <v>155</v>
      </c>
      <c r="G54" s="2">
        <v>3</v>
      </c>
      <c r="H54" s="13">
        <v>32400</v>
      </c>
      <c r="I54" s="13"/>
      <c r="O54" t="str">
        <f t="shared" si="0"/>
        <v>Rahul Sharma</v>
      </c>
      <c r="P54" t="str">
        <f t="shared" si="1"/>
        <v>Furniture</v>
      </c>
      <c r="Q54" t="str">
        <f t="shared" si="2"/>
        <v>West</v>
      </c>
    </row>
    <row r="55" spans="1:17" x14ac:dyDescent="0.3">
      <c r="A55" s="11" t="s">
        <v>62</v>
      </c>
      <c r="B55" s="3">
        <v>45940</v>
      </c>
      <c r="C55" s="2" t="s">
        <v>135</v>
      </c>
      <c r="D55" s="2" t="s">
        <v>144</v>
      </c>
      <c r="E55" s="2" t="s">
        <v>149</v>
      </c>
      <c r="F55" s="2" t="s">
        <v>153</v>
      </c>
      <c r="G55" s="2">
        <v>4</v>
      </c>
      <c r="H55" s="13">
        <v>6300</v>
      </c>
      <c r="I55" s="13">
        <v>378</v>
      </c>
      <c r="O55" t="str">
        <f t="shared" si="0"/>
        <v>Karan Arora</v>
      </c>
      <c r="P55" t="str">
        <f t="shared" si="1"/>
        <v>Electronics</v>
      </c>
      <c r="Q55" t="str">
        <f t="shared" si="2"/>
        <v>South</v>
      </c>
    </row>
    <row r="56" spans="1:17" x14ac:dyDescent="0.3">
      <c r="A56" s="11" t="s">
        <v>63</v>
      </c>
      <c r="B56" s="3">
        <v>45937</v>
      </c>
      <c r="C56" s="2" t="s">
        <v>134</v>
      </c>
      <c r="D56" s="2" t="s">
        <v>139</v>
      </c>
      <c r="E56" s="2" t="s">
        <v>149</v>
      </c>
      <c r="F56" s="2" t="s">
        <v>152</v>
      </c>
      <c r="G56" s="2">
        <v>1</v>
      </c>
      <c r="H56" s="13">
        <v>18000</v>
      </c>
      <c r="I56" s="13">
        <v>2700</v>
      </c>
      <c r="O56" t="str">
        <f t="shared" si="0"/>
        <v>Amit Verma</v>
      </c>
      <c r="P56" t="str">
        <f t="shared" si="1"/>
        <v>Electronics</v>
      </c>
      <c r="Q56" t="str">
        <f t="shared" si="2"/>
        <v>North</v>
      </c>
    </row>
    <row r="57" spans="1:17" x14ac:dyDescent="0.3">
      <c r="A57" s="11" t="s">
        <v>64</v>
      </c>
      <c r="B57" s="3">
        <v>45723</v>
      </c>
      <c r="C57" s="2" t="s">
        <v>137</v>
      </c>
      <c r="D57" s="2" t="s">
        <v>141</v>
      </c>
      <c r="E57" s="2" t="s">
        <v>150</v>
      </c>
      <c r="F57" s="2" t="s">
        <v>153</v>
      </c>
      <c r="G57" s="2">
        <v>1</v>
      </c>
      <c r="H57" s="13">
        <v>3000</v>
      </c>
      <c r="I57" s="13">
        <v>300</v>
      </c>
      <c r="O57" t="str">
        <f t="shared" si="0"/>
        <v>Neha Singh</v>
      </c>
      <c r="P57" t="str">
        <f t="shared" si="1"/>
        <v>Furniture</v>
      </c>
      <c r="Q57" t="str">
        <f t="shared" si="2"/>
        <v>South</v>
      </c>
    </row>
    <row r="58" spans="1:17" x14ac:dyDescent="0.3">
      <c r="A58" s="11" t="s">
        <v>65</v>
      </c>
      <c r="B58" s="3">
        <v>46007</v>
      </c>
      <c r="C58" s="2" t="s">
        <v>132</v>
      </c>
      <c r="D58" s="2" t="s">
        <v>143</v>
      </c>
      <c r="E58" s="2" t="s">
        <v>149</v>
      </c>
      <c r="F58" s="2" t="s">
        <v>155</v>
      </c>
      <c r="G58" s="2">
        <v>2</v>
      </c>
      <c r="H58" s="13">
        <v>132000</v>
      </c>
      <c r="I58" s="13">
        <v>7920</v>
      </c>
      <c r="O58" t="str">
        <f t="shared" si="0"/>
        <v>Sneha Kapoor</v>
      </c>
      <c r="P58" t="str">
        <f t="shared" si="1"/>
        <v>Electronics</v>
      </c>
      <c r="Q58" t="str">
        <f t="shared" si="2"/>
        <v>West</v>
      </c>
    </row>
    <row r="59" spans="1:17" x14ac:dyDescent="0.3">
      <c r="A59" s="11" t="s">
        <v>66</v>
      </c>
      <c r="B59" s="3">
        <v>45737</v>
      </c>
      <c r="C59" s="2" t="s">
        <v>130</v>
      </c>
      <c r="D59" s="2" t="s">
        <v>148</v>
      </c>
      <c r="E59" s="2" t="s">
        <v>150</v>
      </c>
      <c r="F59" s="2" t="s">
        <v>154</v>
      </c>
      <c r="G59" s="2">
        <v>2</v>
      </c>
      <c r="H59" s="13">
        <v>14400</v>
      </c>
      <c r="I59" s="13">
        <v>1152</v>
      </c>
      <c r="O59" t="str">
        <f t="shared" si="0"/>
        <v>Vikas Jain</v>
      </c>
      <c r="P59" t="str">
        <f t="shared" si="1"/>
        <v>Furniture</v>
      </c>
      <c r="Q59" t="str">
        <f t="shared" si="2"/>
        <v>East</v>
      </c>
    </row>
    <row r="60" spans="1:17" x14ac:dyDescent="0.3">
      <c r="A60" s="11" t="s">
        <v>67</v>
      </c>
      <c r="B60" s="3">
        <v>45828</v>
      </c>
      <c r="C60" s="2" t="s">
        <v>134</v>
      </c>
      <c r="D60" s="2" t="s">
        <v>142</v>
      </c>
      <c r="E60" s="2" t="s">
        <v>150</v>
      </c>
      <c r="F60" s="2" t="s">
        <v>152</v>
      </c>
      <c r="G60" s="2">
        <v>4</v>
      </c>
      <c r="H60" s="13">
        <v>52800</v>
      </c>
      <c r="I60" s="13">
        <v>9504</v>
      </c>
      <c r="O60" t="str">
        <f t="shared" si="0"/>
        <v>Amit Verma</v>
      </c>
      <c r="P60" t="str">
        <f t="shared" si="1"/>
        <v>Furniture</v>
      </c>
      <c r="Q60" t="str">
        <f t="shared" si="2"/>
        <v>North</v>
      </c>
    </row>
    <row r="61" spans="1:17" x14ac:dyDescent="0.3">
      <c r="A61" s="11" t="s">
        <v>68</v>
      </c>
      <c r="B61" s="3">
        <v>46017</v>
      </c>
      <c r="C61" s="2" t="s">
        <v>134</v>
      </c>
      <c r="D61" s="2" t="s">
        <v>140</v>
      </c>
      <c r="E61" s="2" t="s">
        <v>149</v>
      </c>
      <c r="F61" s="2" t="s">
        <v>155</v>
      </c>
      <c r="G61" s="2">
        <v>1</v>
      </c>
      <c r="H61" s="13">
        <v>2500</v>
      </c>
      <c r="I61" s="13">
        <v>150</v>
      </c>
      <c r="O61" t="str">
        <f t="shared" si="0"/>
        <v>Amit Verma</v>
      </c>
      <c r="P61" t="str">
        <f t="shared" si="1"/>
        <v>Electronics</v>
      </c>
      <c r="Q61" t="str">
        <f t="shared" si="2"/>
        <v>West</v>
      </c>
    </row>
    <row r="62" spans="1:17" x14ac:dyDescent="0.3">
      <c r="A62" s="11" t="s">
        <v>69</v>
      </c>
      <c r="B62" s="3">
        <v>45893</v>
      </c>
      <c r="C62" s="2" t="s">
        <v>132</v>
      </c>
      <c r="D62" s="2" t="s">
        <v>145</v>
      </c>
      <c r="E62" s="2" t="s">
        <v>150</v>
      </c>
      <c r="F62" s="2" t="s">
        <v>153</v>
      </c>
      <c r="G62" s="2">
        <v>3</v>
      </c>
      <c r="H62" s="13">
        <v>75000</v>
      </c>
      <c r="I62" s="13">
        <v>6000</v>
      </c>
      <c r="O62" t="str">
        <f t="shared" si="0"/>
        <v>Sneha Kapoor</v>
      </c>
      <c r="P62" t="str">
        <f t="shared" si="1"/>
        <v>Furniture</v>
      </c>
      <c r="Q62" t="str">
        <f t="shared" si="2"/>
        <v>South</v>
      </c>
    </row>
    <row r="63" spans="1:17" x14ac:dyDescent="0.3">
      <c r="A63" s="11" t="s">
        <v>70</v>
      </c>
      <c r="B63" s="3">
        <v>45862</v>
      </c>
      <c r="C63" s="2" t="s">
        <v>132</v>
      </c>
      <c r="D63" s="2" t="s">
        <v>140</v>
      </c>
      <c r="E63" s="2" t="s">
        <v>149</v>
      </c>
      <c r="F63" s="2" t="s">
        <v>152</v>
      </c>
      <c r="G63" s="2">
        <v>3</v>
      </c>
      <c r="H63" s="13">
        <v>7500</v>
      </c>
      <c r="I63" s="13">
        <v>450</v>
      </c>
      <c r="O63" t="str">
        <f t="shared" si="0"/>
        <v>Sneha Kapoor</v>
      </c>
      <c r="P63" t="str">
        <f t="shared" si="1"/>
        <v>Electronics</v>
      </c>
      <c r="Q63" t="str">
        <f t="shared" si="2"/>
        <v>North</v>
      </c>
    </row>
    <row r="64" spans="1:17" x14ac:dyDescent="0.3">
      <c r="A64" s="11" t="s">
        <v>71</v>
      </c>
      <c r="B64" s="3">
        <v>45862</v>
      </c>
      <c r="C64" s="2" t="s">
        <v>131</v>
      </c>
      <c r="D64" s="2" t="s">
        <v>144</v>
      </c>
      <c r="E64" s="2" t="s">
        <v>149</v>
      </c>
      <c r="F64" s="2" t="s">
        <v>155</v>
      </c>
      <c r="G64" s="2">
        <v>3</v>
      </c>
      <c r="H64" s="13">
        <v>3825</v>
      </c>
      <c r="I64" s="13">
        <v>229.5</v>
      </c>
      <c r="O64" t="str">
        <f t="shared" si="0"/>
        <v>Simran Kaur</v>
      </c>
      <c r="P64" t="str">
        <f t="shared" si="1"/>
        <v>Electronics</v>
      </c>
      <c r="Q64" t="str">
        <f t="shared" si="2"/>
        <v>West</v>
      </c>
    </row>
    <row r="65" spans="1:17" x14ac:dyDescent="0.3">
      <c r="A65" s="11" t="s">
        <v>72</v>
      </c>
      <c r="B65" s="3">
        <v>45793</v>
      </c>
      <c r="C65" s="2" t="s">
        <v>130</v>
      </c>
      <c r="D65" s="2" t="s">
        <v>144</v>
      </c>
      <c r="E65" s="2" t="s">
        <v>149</v>
      </c>
      <c r="F65" s="2" t="s">
        <v>153</v>
      </c>
      <c r="G65" s="2">
        <v>1</v>
      </c>
      <c r="H65" s="13">
        <v>1275</v>
      </c>
      <c r="I65" s="13">
        <v>191.25</v>
      </c>
      <c r="O65" t="str">
        <f t="shared" si="0"/>
        <v>Vikas Jain</v>
      </c>
      <c r="P65" t="str">
        <f t="shared" si="1"/>
        <v>Electronics</v>
      </c>
      <c r="Q65" t="str">
        <f t="shared" si="2"/>
        <v>South</v>
      </c>
    </row>
    <row r="66" spans="1:17" x14ac:dyDescent="0.3">
      <c r="A66" s="11" t="s">
        <v>73</v>
      </c>
      <c r="B66" s="3">
        <v>45881</v>
      </c>
      <c r="C66" s="2" t="s">
        <v>136</v>
      </c>
      <c r="D66" s="2" t="s">
        <v>142</v>
      </c>
      <c r="E66" s="2" t="s">
        <v>150</v>
      </c>
      <c r="F66" s="2" t="s">
        <v>155</v>
      </c>
      <c r="G66" s="2">
        <v>1</v>
      </c>
      <c r="H66" s="13">
        <v>12000</v>
      </c>
      <c r="I66" s="13">
        <v>1800</v>
      </c>
      <c r="O66" t="str">
        <f t="shared" si="0"/>
        <v>Arjun Malhotra</v>
      </c>
      <c r="P66" t="str">
        <f t="shared" si="1"/>
        <v>Furniture</v>
      </c>
      <c r="Q66" t="str">
        <f t="shared" si="2"/>
        <v>West</v>
      </c>
    </row>
    <row r="67" spans="1:17" x14ac:dyDescent="0.3">
      <c r="A67" s="11" t="s">
        <v>74</v>
      </c>
      <c r="B67" s="3">
        <v>46020</v>
      </c>
      <c r="C67" s="2" t="s">
        <v>138</v>
      </c>
      <c r="D67" s="2" t="s">
        <v>140</v>
      </c>
      <c r="E67" s="2" t="s">
        <v>149</v>
      </c>
      <c r="F67" s="2" t="s">
        <v>155</v>
      </c>
      <c r="G67" s="2">
        <v>4</v>
      </c>
      <c r="H67" s="13">
        <v>8500</v>
      </c>
      <c r="I67" s="13">
        <v>1275</v>
      </c>
      <c r="O67" t="str">
        <f t="shared" ref="O67:O121" si="3">TRIM(C67)</f>
        <v>Rahul Sharma</v>
      </c>
      <c r="P67" t="str">
        <f t="shared" ref="P67:P121" si="4" xml:space="preserve"> TRIM(E67)</f>
        <v>Electronics</v>
      </c>
      <c r="Q67" t="str">
        <f t="shared" ref="Q67:Q121" si="5" xml:space="preserve"> TRIM(F67)</f>
        <v>West</v>
      </c>
    </row>
    <row r="68" spans="1:17" x14ac:dyDescent="0.3">
      <c r="A68" s="11" t="s">
        <v>75</v>
      </c>
      <c r="B68" s="3">
        <v>45878</v>
      </c>
      <c r="C68" s="2" t="s">
        <v>136</v>
      </c>
      <c r="D68" s="2" t="s">
        <v>141</v>
      </c>
      <c r="E68" s="2" t="s">
        <v>150</v>
      </c>
      <c r="F68" s="2" t="s">
        <v>153</v>
      </c>
      <c r="G68" s="2">
        <v>1</v>
      </c>
      <c r="H68" s="13">
        <v>3300</v>
      </c>
      <c r="I68" s="13">
        <v>330</v>
      </c>
      <c r="O68" t="str">
        <f t="shared" si="3"/>
        <v>Arjun Malhotra</v>
      </c>
      <c r="P68" t="str">
        <f t="shared" si="4"/>
        <v>Furniture</v>
      </c>
      <c r="Q68" t="str">
        <f t="shared" si="5"/>
        <v>South</v>
      </c>
    </row>
    <row r="69" spans="1:17" x14ac:dyDescent="0.3">
      <c r="A69" s="11" t="s">
        <v>76</v>
      </c>
      <c r="B69" s="3">
        <v>45811</v>
      </c>
      <c r="C69" s="2" t="s">
        <v>133</v>
      </c>
      <c r="D69" s="2" t="s">
        <v>147</v>
      </c>
      <c r="E69" s="2" t="s">
        <v>150</v>
      </c>
      <c r="F69" s="2" t="s">
        <v>155</v>
      </c>
      <c r="G69" s="2">
        <v>3</v>
      </c>
      <c r="H69" s="13">
        <v>29700</v>
      </c>
      <c r="I69" s="13">
        <v>3564</v>
      </c>
      <c r="O69" t="str">
        <f t="shared" si="3"/>
        <v>Priya Mehta</v>
      </c>
      <c r="P69" t="str">
        <f t="shared" si="4"/>
        <v>Furniture</v>
      </c>
      <c r="Q69" t="str">
        <f t="shared" si="5"/>
        <v>West</v>
      </c>
    </row>
    <row r="70" spans="1:17" x14ac:dyDescent="0.3">
      <c r="A70" s="11" t="s">
        <v>77</v>
      </c>
      <c r="B70" s="3">
        <v>45941</v>
      </c>
      <c r="C70" s="2" t="s">
        <v>129</v>
      </c>
      <c r="D70" s="2" t="s">
        <v>148</v>
      </c>
      <c r="E70" s="2" t="s">
        <v>150</v>
      </c>
      <c r="F70" s="2" t="s">
        <v>154</v>
      </c>
      <c r="G70" s="2">
        <v>2</v>
      </c>
      <c r="H70" s="13">
        <v>14400</v>
      </c>
      <c r="I70" s="13">
        <v>1728</v>
      </c>
      <c r="O70" t="str">
        <f t="shared" si="3"/>
        <v>Riya Gupta</v>
      </c>
      <c r="P70" t="str">
        <f t="shared" si="4"/>
        <v>Furniture</v>
      </c>
      <c r="Q70" t="str">
        <f t="shared" si="5"/>
        <v>East</v>
      </c>
    </row>
    <row r="71" spans="1:17" x14ac:dyDescent="0.3">
      <c r="A71" s="11" t="s">
        <v>78</v>
      </c>
      <c r="B71" s="3">
        <v>45949</v>
      </c>
      <c r="C71" s="2" t="s">
        <v>130</v>
      </c>
      <c r="D71" s="2" t="s">
        <v>142</v>
      </c>
      <c r="E71" s="2" t="s">
        <v>150</v>
      </c>
      <c r="F71" s="2" t="s">
        <v>153</v>
      </c>
      <c r="G71" s="2">
        <v>3</v>
      </c>
      <c r="H71" s="13">
        <v>36000</v>
      </c>
      <c r="I71" s="13">
        <v>5400</v>
      </c>
      <c r="O71" t="str">
        <f t="shared" si="3"/>
        <v>Vikas Jain</v>
      </c>
      <c r="P71" t="str">
        <f t="shared" si="4"/>
        <v>Furniture</v>
      </c>
      <c r="Q71" t="str">
        <f t="shared" si="5"/>
        <v>South</v>
      </c>
    </row>
    <row r="72" spans="1:17" x14ac:dyDescent="0.3">
      <c r="A72" s="11" t="s">
        <v>79</v>
      </c>
      <c r="B72" s="3">
        <v>45765</v>
      </c>
      <c r="C72" s="2" t="s">
        <v>129</v>
      </c>
      <c r="D72" s="2" t="s">
        <v>143</v>
      </c>
      <c r="E72" s="2" t="s">
        <v>149</v>
      </c>
      <c r="F72" s="2" t="s">
        <v>155</v>
      </c>
      <c r="G72" s="2">
        <v>4</v>
      </c>
      <c r="H72" s="13">
        <v>252000</v>
      </c>
      <c r="I72" s="13">
        <v>37800</v>
      </c>
      <c r="O72" t="str">
        <f t="shared" si="3"/>
        <v>Riya Gupta</v>
      </c>
      <c r="P72" t="str">
        <f t="shared" si="4"/>
        <v>Electronics</v>
      </c>
      <c r="Q72" t="str">
        <f t="shared" si="5"/>
        <v>West</v>
      </c>
    </row>
    <row r="73" spans="1:17" x14ac:dyDescent="0.3">
      <c r="A73" s="11" t="s">
        <v>80</v>
      </c>
      <c r="B73" s="3">
        <v>45884</v>
      </c>
      <c r="C73" s="2" t="s">
        <v>135</v>
      </c>
      <c r="D73" s="2" t="s">
        <v>148</v>
      </c>
      <c r="E73" s="2" t="s">
        <v>150</v>
      </c>
      <c r="F73" s="2" t="s">
        <v>154</v>
      </c>
      <c r="G73" s="2">
        <v>2</v>
      </c>
      <c r="H73" s="13">
        <v>16800</v>
      </c>
      <c r="I73" s="13">
        <v>2016</v>
      </c>
      <c r="O73" t="str">
        <f t="shared" si="3"/>
        <v>Karan Arora</v>
      </c>
      <c r="P73" t="str">
        <f t="shared" si="4"/>
        <v>Furniture</v>
      </c>
      <c r="Q73" t="str">
        <f t="shared" si="5"/>
        <v>East</v>
      </c>
    </row>
    <row r="74" spans="1:17" x14ac:dyDescent="0.3">
      <c r="A74" s="11" t="s">
        <v>81</v>
      </c>
      <c r="B74" s="3">
        <v>45921</v>
      </c>
      <c r="C74" s="2" t="s">
        <v>129</v>
      </c>
      <c r="D74" s="2" t="s">
        <v>146</v>
      </c>
      <c r="E74" s="2" t="s">
        <v>149</v>
      </c>
      <c r="F74" s="2" t="s">
        <v>152</v>
      </c>
      <c r="G74" s="2">
        <v>3</v>
      </c>
      <c r="H74" s="13">
        <v>76500</v>
      </c>
      <c r="I74" s="13">
        <v>6120</v>
      </c>
      <c r="O74" t="str">
        <f t="shared" si="3"/>
        <v>Riya Gupta</v>
      </c>
      <c r="P74" t="str">
        <f t="shared" si="4"/>
        <v>Electronics</v>
      </c>
      <c r="Q74" t="str">
        <f t="shared" si="5"/>
        <v>North</v>
      </c>
    </row>
    <row r="75" spans="1:17" x14ac:dyDescent="0.3">
      <c r="A75" s="11" t="s">
        <v>82</v>
      </c>
      <c r="B75" s="3">
        <v>45733</v>
      </c>
      <c r="C75" s="2" t="s">
        <v>132</v>
      </c>
      <c r="D75" s="2" t="s">
        <v>144</v>
      </c>
      <c r="E75" s="2" t="s">
        <v>149</v>
      </c>
      <c r="F75" s="2" t="s">
        <v>153</v>
      </c>
      <c r="G75" s="2">
        <v>1</v>
      </c>
      <c r="H75" s="13">
        <v>1275</v>
      </c>
      <c r="I75" s="13">
        <v>102</v>
      </c>
      <c r="O75" t="str">
        <f t="shared" si="3"/>
        <v>Sneha Kapoor</v>
      </c>
      <c r="P75" t="str">
        <f t="shared" si="4"/>
        <v>Electronics</v>
      </c>
      <c r="Q75" t="str">
        <f t="shared" si="5"/>
        <v>South</v>
      </c>
    </row>
    <row r="76" spans="1:17" x14ac:dyDescent="0.3">
      <c r="A76" s="11" t="s">
        <v>83</v>
      </c>
      <c r="B76" s="3">
        <v>45870</v>
      </c>
      <c r="C76" s="2" t="s">
        <v>135</v>
      </c>
      <c r="D76" s="2" t="s">
        <v>145</v>
      </c>
      <c r="E76" s="2" t="s">
        <v>150</v>
      </c>
      <c r="F76" s="2" t="s">
        <v>152</v>
      </c>
      <c r="G76" s="2">
        <v>2</v>
      </c>
      <c r="H76" s="13">
        <v>55000</v>
      </c>
      <c r="I76" s="13">
        <v>9900</v>
      </c>
      <c r="O76" t="str">
        <f t="shared" si="3"/>
        <v>Karan Arora</v>
      </c>
      <c r="P76" t="str">
        <f t="shared" si="4"/>
        <v>Furniture</v>
      </c>
      <c r="Q76" t="str">
        <f t="shared" si="5"/>
        <v>North</v>
      </c>
    </row>
    <row r="77" spans="1:17" x14ac:dyDescent="0.3">
      <c r="A77" s="11" t="s">
        <v>84</v>
      </c>
      <c r="B77" s="3">
        <v>45782</v>
      </c>
      <c r="C77" s="2" t="s">
        <v>137</v>
      </c>
      <c r="D77" s="2" t="s">
        <v>142</v>
      </c>
      <c r="E77" s="2" t="s">
        <v>150</v>
      </c>
      <c r="F77" s="2" t="s">
        <v>154</v>
      </c>
      <c r="G77" s="2">
        <v>2</v>
      </c>
      <c r="H77" s="13">
        <v>26400</v>
      </c>
      <c r="I77" s="13">
        <v>4752</v>
      </c>
      <c r="O77" t="str">
        <f t="shared" si="3"/>
        <v>Neha Singh</v>
      </c>
      <c r="P77" t="str">
        <f t="shared" si="4"/>
        <v>Furniture</v>
      </c>
      <c r="Q77" t="str">
        <f t="shared" si="5"/>
        <v>East</v>
      </c>
    </row>
    <row r="78" spans="1:17" x14ac:dyDescent="0.3">
      <c r="A78" s="11" t="s">
        <v>85</v>
      </c>
      <c r="B78" s="3">
        <v>45770</v>
      </c>
      <c r="C78" s="2" t="s">
        <v>137</v>
      </c>
      <c r="D78" s="2" t="s">
        <v>143</v>
      </c>
      <c r="E78" s="2" t="s">
        <v>149</v>
      </c>
      <c r="F78" s="2" t="s">
        <v>152</v>
      </c>
      <c r="G78" s="2">
        <v>2</v>
      </c>
      <c r="H78" s="13">
        <v>132000</v>
      </c>
      <c r="I78" s="13">
        <v>19800</v>
      </c>
      <c r="O78" t="str">
        <f t="shared" si="3"/>
        <v>Neha Singh</v>
      </c>
      <c r="P78" t="str">
        <f t="shared" si="4"/>
        <v>Electronics</v>
      </c>
      <c r="Q78" t="str">
        <f t="shared" si="5"/>
        <v>North</v>
      </c>
    </row>
    <row r="79" spans="1:17" x14ac:dyDescent="0.3">
      <c r="A79" s="11" t="s">
        <v>86</v>
      </c>
      <c r="B79" s="3">
        <v>45785</v>
      </c>
      <c r="C79" s="2" t="s">
        <v>131</v>
      </c>
      <c r="D79" s="2" t="s">
        <v>145</v>
      </c>
      <c r="E79" s="2" t="s">
        <v>150</v>
      </c>
      <c r="F79" s="2" t="s">
        <v>152</v>
      </c>
      <c r="G79" s="2">
        <v>1</v>
      </c>
      <c r="H79" s="13">
        <v>25000</v>
      </c>
      <c r="I79" s="13">
        <v>2000</v>
      </c>
      <c r="O79" t="str">
        <f t="shared" si="3"/>
        <v>Simran Kaur</v>
      </c>
      <c r="P79" t="str">
        <f t="shared" si="4"/>
        <v>Furniture</v>
      </c>
      <c r="Q79" t="str">
        <f t="shared" si="5"/>
        <v>North</v>
      </c>
    </row>
    <row r="80" spans="1:17" x14ac:dyDescent="0.3">
      <c r="A80" s="11" t="s">
        <v>87</v>
      </c>
      <c r="B80" s="3">
        <v>45971</v>
      </c>
      <c r="C80" s="2" t="s">
        <v>135</v>
      </c>
      <c r="D80" s="2" t="s">
        <v>145</v>
      </c>
      <c r="E80" s="2" t="s">
        <v>150</v>
      </c>
      <c r="F80" s="2" t="s">
        <v>155</v>
      </c>
      <c r="G80" s="2">
        <v>4</v>
      </c>
      <c r="H80" s="13">
        <v>105000</v>
      </c>
      <c r="I80" s="13">
        <v>12600</v>
      </c>
      <c r="O80" t="str">
        <f t="shared" si="3"/>
        <v>Karan Arora</v>
      </c>
      <c r="P80" t="str">
        <f t="shared" si="4"/>
        <v>Furniture</v>
      </c>
      <c r="Q80" t="str">
        <f t="shared" si="5"/>
        <v>West</v>
      </c>
    </row>
    <row r="81" spans="1:17" x14ac:dyDescent="0.3">
      <c r="A81" s="11" t="s">
        <v>88</v>
      </c>
      <c r="B81" s="3">
        <v>45790</v>
      </c>
      <c r="C81" s="2" t="s">
        <v>133</v>
      </c>
      <c r="D81" s="2" t="s">
        <v>146</v>
      </c>
      <c r="E81" s="2" t="s">
        <v>149</v>
      </c>
      <c r="F81" s="2" t="s">
        <v>154</v>
      </c>
      <c r="G81" s="2">
        <v>2</v>
      </c>
      <c r="H81" s="13">
        <v>66000</v>
      </c>
      <c r="I81" s="13">
        <v>6600</v>
      </c>
      <c r="O81" t="str">
        <f t="shared" si="3"/>
        <v>Priya Mehta</v>
      </c>
      <c r="P81" t="str">
        <f t="shared" si="4"/>
        <v>Electronics</v>
      </c>
      <c r="Q81" t="str">
        <f t="shared" si="5"/>
        <v>East</v>
      </c>
    </row>
    <row r="82" spans="1:17" x14ac:dyDescent="0.3">
      <c r="A82" s="11" t="s">
        <v>89</v>
      </c>
      <c r="B82" s="3">
        <v>45798</v>
      </c>
      <c r="C82" s="2" t="s">
        <v>132</v>
      </c>
      <c r="D82" s="2" t="s">
        <v>141</v>
      </c>
      <c r="E82" s="2" t="s">
        <v>150</v>
      </c>
      <c r="F82" s="2" t="s">
        <v>154</v>
      </c>
      <c r="G82" s="2">
        <v>4</v>
      </c>
      <c r="H82" s="13">
        <v>10200</v>
      </c>
      <c r="I82" s="13">
        <v>1836</v>
      </c>
      <c r="O82" t="str">
        <f t="shared" si="3"/>
        <v>Sneha Kapoor</v>
      </c>
      <c r="P82" t="str">
        <f t="shared" si="4"/>
        <v>Furniture</v>
      </c>
      <c r="Q82" t="str">
        <f t="shared" si="5"/>
        <v>East</v>
      </c>
    </row>
    <row r="83" spans="1:17" x14ac:dyDescent="0.3">
      <c r="A83" s="11" t="s">
        <v>90</v>
      </c>
      <c r="B83" s="3">
        <v>45829</v>
      </c>
      <c r="C83" s="2" t="s">
        <v>129</v>
      </c>
      <c r="D83" s="2" t="s">
        <v>144</v>
      </c>
      <c r="E83" s="2" t="s">
        <v>149</v>
      </c>
      <c r="F83" s="2" t="s">
        <v>153</v>
      </c>
      <c r="G83" s="2">
        <v>3</v>
      </c>
      <c r="H83" s="13">
        <v>4725</v>
      </c>
      <c r="I83" s="13">
        <v>283.5</v>
      </c>
      <c r="O83" t="str">
        <f t="shared" si="3"/>
        <v>Riya Gupta</v>
      </c>
      <c r="P83" t="str">
        <f t="shared" si="4"/>
        <v>Electronics</v>
      </c>
      <c r="Q83" t="str">
        <f t="shared" si="5"/>
        <v>South</v>
      </c>
    </row>
    <row r="84" spans="1:17" x14ac:dyDescent="0.3">
      <c r="A84" s="11" t="s">
        <v>91</v>
      </c>
      <c r="B84" s="3">
        <v>45854</v>
      </c>
      <c r="C84" s="2" t="s">
        <v>132</v>
      </c>
      <c r="D84" s="2" t="s">
        <v>146</v>
      </c>
      <c r="E84" s="2" t="s">
        <v>149</v>
      </c>
      <c r="F84" s="2" t="s">
        <v>153</v>
      </c>
      <c r="G84" s="2">
        <v>2</v>
      </c>
      <c r="H84" s="13">
        <v>66000</v>
      </c>
      <c r="I84" s="13">
        <v>5280</v>
      </c>
      <c r="O84" t="str">
        <f t="shared" si="3"/>
        <v>Sneha Kapoor</v>
      </c>
      <c r="P84" t="str">
        <f t="shared" si="4"/>
        <v>Electronics</v>
      </c>
      <c r="Q84" t="str">
        <f t="shared" si="5"/>
        <v>South</v>
      </c>
    </row>
    <row r="85" spans="1:17" x14ac:dyDescent="0.3">
      <c r="A85" s="11" t="s">
        <v>92</v>
      </c>
      <c r="B85" s="3">
        <v>45827</v>
      </c>
      <c r="C85" s="2" t="s">
        <v>137</v>
      </c>
      <c r="D85" s="2" t="s">
        <v>139</v>
      </c>
      <c r="E85" s="2" t="s">
        <v>149</v>
      </c>
      <c r="F85" s="2" t="s">
        <v>154</v>
      </c>
      <c r="G85" s="2">
        <v>4</v>
      </c>
      <c r="H85" s="13">
        <v>72000</v>
      </c>
      <c r="I85" s="13">
        <v>4320</v>
      </c>
      <c r="O85" t="str">
        <f t="shared" si="3"/>
        <v>Neha Singh</v>
      </c>
      <c r="P85" t="str">
        <f t="shared" si="4"/>
        <v>Electronics</v>
      </c>
      <c r="Q85" t="str">
        <f t="shared" si="5"/>
        <v>East</v>
      </c>
    </row>
    <row r="86" spans="1:17" x14ac:dyDescent="0.3">
      <c r="A86" s="11" t="s">
        <v>93</v>
      </c>
      <c r="B86" s="3">
        <v>45957</v>
      </c>
      <c r="C86" s="2" t="s">
        <v>137</v>
      </c>
      <c r="D86" s="2" t="s">
        <v>140</v>
      </c>
      <c r="E86" s="2" t="s">
        <v>149</v>
      </c>
      <c r="F86" s="2" t="s">
        <v>154</v>
      </c>
      <c r="G86" s="2">
        <v>1</v>
      </c>
      <c r="H86" s="13">
        <v>2625</v>
      </c>
      <c r="I86" s="13">
        <v>315</v>
      </c>
      <c r="O86" t="str">
        <f t="shared" si="3"/>
        <v>Neha Singh</v>
      </c>
      <c r="P86" t="str">
        <f t="shared" si="4"/>
        <v>Electronics</v>
      </c>
      <c r="Q86" t="str">
        <f t="shared" si="5"/>
        <v>East</v>
      </c>
    </row>
    <row r="87" spans="1:17" x14ac:dyDescent="0.3">
      <c r="A87" s="11" t="s">
        <v>94</v>
      </c>
      <c r="B87" s="3">
        <v>45810</v>
      </c>
      <c r="C87" s="2" t="s">
        <v>136</v>
      </c>
      <c r="D87" s="2" t="s">
        <v>145</v>
      </c>
      <c r="E87" s="2" t="s">
        <v>150</v>
      </c>
      <c r="F87" s="2" t="s">
        <v>152</v>
      </c>
      <c r="G87" s="2">
        <v>4</v>
      </c>
      <c r="H87" s="13">
        <v>100000</v>
      </c>
      <c r="I87" s="13">
        <v>15000</v>
      </c>
      <c r="O87" t="str">
        <f t="shared" si="3"/>
        <v>Arjun Malhotra</v>
      </c>
      <c r="P87" t="str">
        <f t="shared" si="4"/>
        <v>Furniture</v>
      </c>
      <c r="Q87" t="str">
        <f t="shared" si="5"/>
        <v>North</v>
      </c>
    </row>
    <row r="88" spans="1:17" x14ac:dyDescent="0.3">
      <c r="A88" s="11" t="s">
        <v>95</v>
      </c>
      <c r="B88" s="3">
        <v>45770</v>
      </c>
      <c r="C88" s="2" t="s">
        <v>135</v>
      </c>
      <c r="D88" s="2" t="s">
        <v>141</v>
      </c>
      <c r="E88" s="2" t="s">
        <v>150</v>
      </c>
      <c r="F88" s="2" t="s">
        <v>153</v>
      </c>
      <c r="G88" s="2">
        <v>3</v>
      </c>
      <c r="H88" s="13">
        <v>9000</v>
      </c>
      <c r="I88" s="13">
        <v>1080</v>
      </c>
      <c r="O88" t="str">
        <f t="shared" si="3"/>
        <v>Karan Arora</v>
      </c>
      <c r="P88" t="str">
        <f t="shared" si="4"/>
        <v>Furniture</v>
      </c>
      <c r="Q88" t="str">
        <f t="shared" si="5"/>
        <v>South</v>
      </c>
    </row>
    <row r="89" spans="1:17" x14ac:dyDescent="0.3">
      <c r="A89" s="11" t="s">
        <v>96</v>
      </c>
      <c r="B89" s="3">
        <v>46000</v>
      </c>
      <c r="C89" s="2" t="s">
        <v>136</v>
      </c>
      <c r="D89" s="2" t="s">
        <v>143</v>
      </c>
      <c r="E89" s="2" t="s">
        <v>149</v>
      </c>
      <c r="F89" s="2" t="s">
        <v>154</v>
      </c>
      <c r="G89" s="2">
        <v>4</v>
      </c>
      <c r="H89" s="13">
        <v>264000</v>
      </c>
      <c r="I89" s="13">
        <v>21120</v>
      </c>
      <c r="O89" t="str">
        <f t="shared" si="3"/>
        <v>Arjun Malhotra</v>
      </c>
      <c r="P89" t="str">
        <f t="shared" si="4"/>
        <v>Electronics</v>
      </c>
      <c r="Q89" t="str">
        <f t="shared" si="5"/>
        <v>East</v>
      </c>
    </row>
    <row r="90" spans="1:17" x14ac:dyDescent="0.3">
      <c r="A90" s="11" t="s">
        <v>97</v>
      </c>
      <c r="B90" s="3">
        <v>45931</v>
      </c>
      <c r="C90" s="2" t="s">
        <v>130</v>
      </c>
      <c r="D90" s="2" t="s">
        <v>145</v>
      </c>
      <c r="E90" s="2" t="s">
        <v>150</v>
      </c>
      <c r="F90" s="2" t="s">
        <v>153</v>
      </c>
      <c r="G90" s="2">
        <v>1</v>
      </c>
      <c r="H90" s="13">
        <v>25000</v>
      </c>
      <c r="I90" s="13">
        <v>3750</v>
      </c>
      <c r="O90" t="str">
        <f t="shared" si="3"/>
        <v>Vikas Jain</v>
      </c>
      <c r="P90" t="str">
        <f t="shared" si="4"/>
        <v>Furniture</v>
      </c>
      <c r="Q90" t="str">
        <f t="shared" si="5"/>
        <v>South</v>
      </c>
    </row>
    <row r="91" spans="1:17" x14ac:dyDescent="0.3">
      <c r="A91" s="11" t="s">
        <v>98</v>
      </c>
      <c r="B91" s="3">
        <v>45987</v>
      </c>
      <c r="C91" s="2" t="s">
        <v>133</v>
      </c>
      <c r="D91" s="2" t="s">
        <v>147</v>
      </c>
      <c r="E91" s="2" t="s">
        <v>150</v>
      </c>
      <c r="F91" s="2" t="s">
        <v>152</v>
      </c>
      <c r="G91" s="2">
        <v>4</v>
      </c>
      <c r="H91" s="13">
        <v>32400</v>
      </c>
      <c r="I91" s="13">
        <v>3888</v>
      </c>
      <c r="O91" t="str">
        <f t="shared" si="3"/>
        <v>Priya Mehta</v>
      </c>
      <c r="P91" t="str">
        <f t="shared" si="4"/>
        <v>Furniture</v>
      </c>
      <c r="Q91" t="str">
        <f t="shared" si="5"/>
        <v>North</v>
      </c>
    </row>
    <row r="92" spans="1:17" x14ac:dyDescent="0.3">
      <c r="A92" s="11" t="s">
        <v>99</v>
      </c>
      <c r="B92" s="3">
        <v>45852</v>
      </c>
      <c r="C92" s="2" t="s">
        <v>129</v>
      </c>
      <c r="D92" s="2" t="s">
        <v>146</v>
      </c>
      <c r="E92" s="2" t="s">
        <v>149</v>
      </c>
      <c r="F92" s="2" t="s">
        <v>152</v>
      </c>
      <c r="G92" s="2">
        <v>3</v>
      </c>
      <c r="H92" s="13">
        <v>81000</v>
      </c>
      <c r="I92" s="13">
        <v>9720</v>
      </c>
      <c r="O92" t="str">
        <f t="shared" si="3"/>
        <v>Riya Gupta</v>
      </c>
      <c r="P92" t="str">
        <f t="shared" si="4"/>
        <v>Electronics</v>
      </c>
      <c r="Q92" t="str">
        <f t="shared" si="5"/>
        <v>North</v>
      </c>
    </row>
    <row r="93" spans="1:17" x14ac:dyDescent="0.3">
      <c r="A93" s="11" t="s">
        <v>100</v>
      </c>
      <c r="B93" s="3">
        <v>45800</v>
      </c>
      <c r="C93" s="2" t="s">
        <v>137</v>
      </c>
      <c r="D93" s="2" t="s">
        <v>148</v>
      </c>
      <c r="E93" s="2" t="s">
        <v>150</v>
      </c>
      <c r="F93" s="2" t="s">
        <v>153</v>
      </c>
      <c r="G93" s="2">
        <v>4</v>
      </c>
      <c r="H93" s="13">
        <v>32000</v>
      </c>
      <c r="I93" s="13">
        <v>1920</v>
      </c>
      <c r="O93" t="str">
        <f t="shared" si="3"/>
        <v>Neha Singh</v>
      </c>
      <c r="P93" t="str">
        <f t="shared" si="4"/>
        <v>Furniture</v>
      </c>
      <c r="Q93" t="str">
        <f t="shared" si="5"/>
        <v>South</v>
      </c>
    </row>
    <row r="94" spans="1:17" x14ac:dyDescent="0.3">
      <c r="A94" s="11" t="s">
        <v>101</v>
      </c>
      <c r="B94" s="3">
        <v>45684</v>
      </c>
      <c r="C94" s="2" t="s">
        <v>131</v>
      </c>
      <c r="D94" s="2" t="s">
        <v>145</v>
      </c>
      <c r="E94" s="2" t="s">
        <v>150</v>
      </c>
      <c r="F94" s="2" t="s">
        <v>152</v>
      </c>
      <c r="G94" s="2">
        <v>3</v>
      </c>
      <c r="H94" s="13">
        <v>67500</v>
      </c>
      <c r="I94" s="13">
        <v>12150</v>
      </c>
      <c r="O94" t="str">
        <f t="shared" si="3"/>
        <v>Simran Kaur</v>
      </c>
      <c r="P94" t="str">
        <f t="shared" si="4"/>
        <v>Furniture</v>
      </c>
      <c r="Q94" t="str">
        <f t="shared" si="5"/>
        <v>North</v>
      </c>
    </row>
    <row r="95" spans="1:17" x14ac:dyDescent="0.3">
      <c r="A95" s="11" t="s">
        <v>102</v>
      </c>
      <c r="B95" s="3">
        <v>45784</v>
      </c>
      <c r="C95" s="2" t="s">
        <v>138</v>
      </c>
      <c r="D95" s="2" t="s">
        <v>139</v>
      </c>
      <c r="E95" s="2" t="s">
        <v>149</v>
      </c>
      <c r="F95" s="2" t="s">
        <v>152</v>
      </c>
      <c r="G95" s="2">
        <v>2</v>
      </c>
      <c r="H95" s="13">
        <v>30600</v>
      </c>
      <c r="I95" s="13">
        <v>4590</v>
      </c>
      <c r="O95" t="str">
        <f t="shared" si="3"/>
        <v>Rahul Sharma</v>
      </c>
      <c r="P95" t="str">
        <f t="shared" si="4"/>
        <v>Electronics</v>
      </c>
      <c r="Q95" t="str">
        <f t="shared" si="5"/>
        <v>North</v>
      </c>
    </row>
    <row r="96" spans="1:17" x14ac:dyDescent="0.3">
      <c r="A96" s="11" t="s">
        <v>103</v>
      </c>
      <c r="B96" s="3">
        <v>45900</v>
      </c>
      <c r="C96" s="2" t="s">
        <v>134</v>
      </c>
      <c r="D96" s="2" t="s">
        <v>146</v>
      </c>
      <c r="E96" s="2" t="s">
        <v>149</v>
      </c>
      <c r="F96" s="2" t="s">
        <v>153</v>
      </c>
      <c r="G96" s="2">
        <v>1</v>
      </c>
      <c r="H96" s="13">
        <v>31500</v>
      </c>
      <c r="I96" s="13">
        <v>2520</v>
      </c>
      <c r="O96" t="str">
        <f t="shared" si="3"/>
        <v>Amit Verma</v>
      </c>
      <c r="P96" t="str">
        <f t="shared" si="4"/>
        <v>Electronics</v>
      </c>
      <c r="Q96" t="str">
        <f t="shared" si="5"/>
        <v>South</v>
      </c>
    </row>
    <row r="97" spans="1:17" x14ac:dyDescent="0.3">
      <c r="A97" s="11" t="s">
        <v>104</v>
      </c>
      <c r="B97" s="3">
        <v>45743</v>
      </c>
      <c r="C97" s="2" t="s">
        <v>136</v>
      </c>
      <c r="D97" s="2" t="s">
        <v>145</v>
      </c>
      <c r="E97" s="2" t="s">
        <v>150</v>
      </c>
      <c r="F97" s="2" t="s">
        <v>155</v>
      </c>
      <c r="G97" s="2">
        <v>1</v>
      </c>
      <c r="H97" s="13">
        <v>22500</v>
      </c>
      <c r="I97" s="13">
        <v>2250</v>
      </c>
      <c r="O97" t="str">
        <f t="shared" si="3"/>
        <v>Arjun Malhotra</v>
      </c>
      <c r="P97" t="str">
        <f t="shared" si="4"/>
        <v>Furniture</v>
      </c>
      <c r="Q97" t="str">
        <f t="shared" si="5"/>
        <v>West</v>
      </c>
    </row>
    <row r="98" spans="1:17" x14ac:dyDescent="0.3">
      <c r="A98" s="11" t="s">
        <v>105</v>
      </c>
      <c r="B98" s="3">
        <v>45952</v>
      </c>
      <c r="C98" s="2" t="s">
        <v>129</v>
      </c>
      <c r="D98" s="2" t="s">
        <v>139</v>
      </c>
      <c r="E98" s="2" t="s">
        <v>149</v>
      </c>
      <c r="F98" s="2" t="s">
        <v>152</v>
      </c>
      <c r="G98" s="2">
        <v>4</v>
      </c>
      <c r="H98" s="13">
        <v>72000</v>
      </c>
      <c r="I98" s="13">
        <v>12960</v>
      </c>
      <c r="O98" t="str">
        <f t="shared" si="3"/>
        <v>Riya Gupta</v>
      </c>
      <c r="P98" t="str">
        <f t="shared" si="4"/>
        <v>Electronics</v>
      </c>
      <c r="Q98" t="str">
        <f t="shared" si="5"/>
        <v>North</v>
      </c>
    </row>
    <row r="99" spans="1:17" x14ac:dyDescent="0.3">
      <c r="A99" s="11" t="s">
        <v>106</v>
      </c>
      <c r="B99" s="3">
        <v>46011</v>
      </c>
      <c r="C99" s="2" t="s">
        <v>130</v>
      </c>
      <c r="D99" s="2" t="s">
        <v>140</v>
      </c>
      <c r="E99" s="2" t="s">
        <v>149</v>
      </c>
      <c r="F99" s="2" t="s">
        <v>152</v>
      </c>
      <c r="G99" s="2">
        <v>2</v>
      </c>
      <c r="H99" s="13">
        <v>4250</v>
      </c>
      <c r="I99" s="13">
        <v>765</v>
      </c>
      <c r="O99" t="str">
        <f t="shared" si="3"/>
        <v>Vikas Jain</v>
      </c>
      <c r="P99" t="str">
        <f t="shared" si="4"/>
        <v>Electronics</v>
      </c>
      <c r="Q99" t="str">
        <f t="shared" si="5"/>
        <v>North</v>
      </c>
    </row>
    <row r="100" spans="1:17" x14ac:dyDescent="0.3">
      <c r="A100" s="11" t="s">
        <v>107</v>
      </c>
      <c r="B100" s="3">
        <v>45679</v>
      </c>
      <c r="C100" s="2" t="s">
        <v>130</v>
      </c>
      <c r="D100" s="2" t="s">
        <v>144</v>
      </c>
      <c r="E100" s="2" t="s">
        <v>149</v>
      </c>
      <c r="F100" s="2" t="s">
        <v>152</v>
      </c>
      <c r="G100" s="2">
        <v>3</v>
      </c>
      <c r="H100" s="13">
        <v>4725</v>
      </c>
      <c r="I100" s="13">
        <v>567</v>
      </c>
      <c r="O100" t="str">
        <f t="shared" si="3"/>
        <v>Vikas Jain</v>
      </c>
      <c r="P100" t="str">
        <f t="shared" si="4"/>
        <v>Electronics</v>
      </c>
      <c r="Q100" t="str">
        <f t="shared" si="5"/>
        <v>North</v>
      </c>
    </row>
    <row r="101" spans="1:17" x14ac:dyDescent="0.3">
      <c r="A101" s="11" t="s">
        <v>108</v>
      </c>
      <c r="B101" s="3">
        <v>45989</v>
      </c>
      <c r="C101" s="2" t="s">
        <v>131</v>
      </c>
      <c r="D101" s="2" t="s">
        <v>148</v>
      </c>
      <c r="E101" s="2" t="s">
        <v>150</v>
      </c>
      <c r="F101" s="2" t="s">
        <v>152</v>
      </c>
      <c r="G101" s="2">
        <v>3</v>
      </c>
      <c r="H101" s="13">
        <v>20400</v>
      </c>
      <c r="I101" s="13">
        <v>2448</v>
      </c>
      <c r="O101" t="str">
        <f t="shared" si="3"/>
        <v>Simran Kaur</v>
      </c>
      <c r="P101" t="str">
        <f t="shared" si="4"/>
        <v>Furniture</v>
      </c>
      <c r="Q101" t="str">
        <f t="shared" si="5"/>
        <v>North</v>
      </c>
    </row>
    <row r="102" spans="1:17" x14ac:dyDescent="0.3">
      <c r="A102" s="11" t="s">
        <v>109</v>
      </c>
      <c r="B102" s="3">
        <v>45843</v>
      </c>
      <c r="C102" s="2" t="s">
        <v>137</v>
      </c>
      <c r="D102" s="2" t="s">
        <v>145</v>
      </c>
      <c r="E102" s="2" t="s">
        <v>150</v>
      </c>
      <c r="F102" s="2" t="s">
        <v>152</v>
      </c>
      <c r="G102" s="2">
        <v>4</v>
      </c>
      <c r="H102" s="13">
        <v>110000</v>
      </c>
      <c r="I102" s="13">
        <v>8800</v>
      </c>
      <c r="O102" t="str">
        <f t="shared" si="3"/>
        <v>Neha Singh</v>
      </c>
      <c r="P102" t="str">
        <f t="shared" si="4"/>
        <v>Furniture</v>
      </c>
      <c r="Q102" t="str">
        <f t="shared" si="5"/>
        <v>North</v>
      </c>
    </row>
    <row r="103" spans="1:17" x14ac:dyDescent="0.3">
      <c r="A103" s="11" t="s">
        <v>110</v>
      </c>
      <c r="B103" s="3">
        <v>45991</v>
      </c>
      <c r="C103" s="2" t="s">
        <v>131</v>
      </c>
      <c r="D103" s="2" t="s">
        <v>142</v>
      </c>
      <c r="E103" s="2" t="s">
        <v>150</v>
      </c>
      <c r="F103" s="2" t="s">
        <v>153</v>
      </c>
      <c r="G103" s="2">
        <v>3</v>
      </c>
      <c r="H103" s="13">
        <v>37800</v>
      </c>
      <c r="I103" s="13">
        <v>5670</v>
      </c>
      <c r="O103" t="str">
        <f t="shared" si="3"/>
        <v>Simran Kaur</v>
      </c>
      <c r="P103" t="str">
        <f t="shared" si="4"/>
        <v>Furniture</v>
      </c>
      <c r="Q103" t="str">
        <f t="shared" si="5"/>
        <v>South</v>
      </c>
    </row>
    <row r="104" spans="1:17" x14ac:dyDescent="0.3">
      <c r="A104" s="11" t="s">
        <v>111</v>
      </c>
      <c r="B104" s="3">
        <v>45961</v>
      </c>
      <c r="C104" s="2" t="s">
        <v>137</v>
      </c>
      <c r="D104" s="2" t="s">
        <v>145</v>
      </c>
      <c r="E104" s="2" t="s">
        <v>150</v>
      </c>
      <c r="F104" s="2" t="s">
        <v>154</v>
      </c>
      <c r="G104" s="2">
        <v>3</v>
      </c>
      <c r="H104" s="13">
        <v>75000</v>
      </c>
      <c r="I104" s="13">
        <v>6000</v>
      </c>
      <c r="O104" t="str">
        <f t="shared" si="3"/>
        <v>Neha Singh</v>
      </c>
      <c r="P104" t="str">
        <f t="shared" si="4"/>
        <v>Furniture</v>
      </c>
      <c r="Q104" t="str">
        <f t="shared" si="5"/>
        <v>East</v>
      </c>
    </row>
    <row r="105" spans="1:17" x14ac:dyDescent="0.3">
      <c r="A105" s="11" t="s">
        <v>112</v>
      </c>
      <c r="B105" s="3">
        <v>45782</v>
      </c>
      <c r="C105" s="2" t="s">
        <v>135</v>
      </c>
      <c r="D105" s="2" t="s">
        <v>139</v>
      </c>
      <c r="E105" s="2" t="s">
        <v>149</v>
      </c>
      <c r="F105" s="2" t="s">
        <v>155</v>
      </c>
      <c r="G105" s="2">
        <v>4</v>
      </c>
      <c r="H105" s="13">
        <v>75600</v>
      </c>
      <c r="I105" s="13">
        <v>11340</v>
      </c>
      <c r="O105" t="str">
        <f t="shared" si="3"/>
        <v>Karan Arora</v>
      </c>
      <c r="P105" t="str">
        <f t="shared" si="4"/>
        <v>Electronics</v>
      </c>
      <c r="Q105" t="str">
        <f t="shared" si="5"/>
        <v>West</v>
      </c>
    </row>
    <row r="106" spans="1:17" x14ac:dyDescent="0.3">
      <c r="A106" s="11" t="s">
        <v>113</v>
      </c>
      <c r="B106" s="3">
        <v>45911</v>
      </c>
      <c r="C106" s="2" t="s">
        <v>138</v>
      </c>
      <c r="D106" s="2" t="s">
        <v>142</v>
      </c>
      <c r="E106" s="2" t="s">
        <v>150</v>
      </c>
      <c r="F106" s="2" t="s">
        <v>155</v>
      </c>
      <c r="G106" s="2">
        <v>3</v>
      </c>
      <c r="H106" s="13">
        <v>32400</v>
      </c>
      <c r="I106" s="13">
        <v>3888</v>
      </c>
      <c r="O106" t="str">
        <f t="shared" si="3"/>
        <v>Rahul Sharma</v>
      </c>
      <c r="P106" t="str">
        <f t="shared" si="4"/>
        <v>Furniture</v>
      </c>
      <c r="Q106" t="str">
        <f t="shared" si="5"/>
        <v>West</v>
      </c>
    </row>
    <row r="107" spans="1:17" x14ac:dyDescent="0.3">
      <c r="A107" s="11" t="s">
        <v>114</v>
      </c>
      <c r="B107" s="3">
        <v>45832</v>
      </c>
      <c r="C107" s="2" t="s">
        <v>129</v>
      </c>
      <c r="D107" s="2" t="s">
        <v>140</v>
      </c>
      <c r="E107" s="2" t="s">
        <v>149</v>
      </c>
      <c r="F107" s="2" t="s">
        <v>155</v>
      </c>
      <c r="G107" s="2">
        <v>3</v>
      </c>
      <c r="H107" s="13">
        <v>7875</v>
      </c>
      <c r="I107" s="13">
        <v>1417.5</v>
      </c>
      <c r="O107" t="str">
        <f t="shared" si="3"/>
        <v>Riya Gupta</v>
      </c>
      <c r="P107" t="str">
        <f t="shared" si="4"/>
        <v>Electronics</v>
      </c>
      <c r="Q107" t="str">
        <f t="shared" si="5"/>
        <v>West</v>
      </c>
    </row>
    <row r="108" spans="1:17" x14ac:dyDescent="0.3">
      <c r="A108" s="11" t="s">
        <v>115</v>
      </c>
      <c r="B108" s="3">
        <v>45755</v>
      </c>
      <c r="C108" s="2" t="s">
        <v>131</v>
      </c>
      <c r="D108" s="2" t="s">
        <v>144</v>
      </c>
      <c r="E108" s="2" t="s">
        <v>149</v>
      </c>
      <c r="F108" s="2" t="s">
        <v>152</v>
      </c>
      <c r="G108" s="2">
        <v>1</v>
      </c>
      <c r="H108" s="13">
        <v>1350</v>
      </c>
      <c r="I108" s="13">
        <v>243</v>
      </c>
      <c r="O108" t="str">
        <f t="shared" si="3"/>
        <v>Simran Kaur</v>
      </c>
      <c r="P108" t="str">
        <f t="shared" si="4"/>
        <v>Electronics</v>
      </c>
      <c r="Q108" t="str">
        <f t="shared" si="5"/>
        <v>North</v>
      </c>
    </row>
    <row r="109" spans="1:17" x14ac:dyDescent="0.3">
      <c r="A109" s="11" t="s">
        <v>116</v>
      </c>
      <c r="B109" s="3">
        <v>45781</v>
      </c>
      <c r="C109" s="2" t="s">
        <v>131</v>
      </c>
      <c r="D109" s="2" t="s">
        <v>142</v>
      </c>
      <c r="E109" s="2" t="s">
        <v>150</v>
      </c>
      <c r="F109" s="2" t="s">
        <v>154</v>
      </c>
      <c r="G109" s="2">
        <v>4</v>
      </c>
      <c r="H109" s="13">
        <v>52800</v>
      </c>
      <c r="I109" s="13">
        <v>9504</v>
      </c>
      <c r="O109" t="str">
        <f t="shared" si="3"/>
        <v>Simran Kaur</v>
      </c>
      <c r="P109" t="str">
        <f t="shared" si="4"/>
        <v>Furniture</v>
      </c>
      <c r="Q109" t="str">
        <f t="shared" si="5"/>
        <v>East</v>
      </c>
    </row>
    <row r="110" spans="1:17" x14ac:dyDescent="0.3">
      <c r="A110" s="11" t="s">
        <v>117</v>
      </c>
      <c r="B110" s="3">
        <v>45705</v>
      </c>
      <c r="C110" s="2" t="s">
        <v>138</v>
      </c>
      <c r="D110" s="2" t="s">
        <v>145</v>
      </c>
      <c r="E110" s="2" t="s">
        <v>150</v>
      </c>
      <c r="F110" s="2" t="s">
        <v>154</v>
      </c>
      <c r="G110" s="2">
        <v>3</v>
      </c>
      <c r="H110" s="13">
        <v>67500</v>
      </c>
      <c r="I110" s="13">
        <v>8100</v>
      </c>
      <c r="O110" t="str">
        <f t="shared" si="3"/>
        <v>Rahul Sharma</v>
      </c>
      <c r="P110" t="str">
        <f t="shared" si="4"/>
        <v>Furniture</v>
      </c>
      <c r="Q110" t="str">
        <f t="shared" si="5"/>
        <v>East</v>
      </c>
    </row>
    <row r="111" spans="1:17" x14ac:dyDescent="0.3">
      <c r="A111" s="11" t="s">
        <v>118</v>
      </c>
      <c r="B111" s="3">
        <v>45846</v>
      </c>
      <c r="C111" s="2" t="s">
        <v>130</v>
      </c>
      <c r="D111" s="2" t="s">
        <v>140</v>
      </c>
      <c r="E111" s="2" t="s">
        <v>149</v>
      </c>
      <c r="F111" s="2" t="s">
        <v>155</v>
      </c>
      <c r="G111" s="2">
        <v>4</v>
      </c>
      <c r="H111" s="13">
        <v>10500</v>
      </c>
      <c r="I111" s="13">
        <v>1575</v>
      </c>
      <c r="O111" t="str">
        <f t="shared" si="3"/>
        <v>Vikas Jain</v>
      </c>
      <c r="P111" t="str">
        <f t="shared" si="4"/>
        <v>Electronics</v>
      </c>
      <c r="Q111" t="str">
        <f t="shared" si="5"/>
        <v>West</v>
      </c>
    </row>
    <row r="112" spans="1:17" x14ac:dyDescent="0.3">
      <c r="A112" s="11" t="s">
        <v>119</v>
      </c>
      <c r="B112" s="3">
        <v>45827</v>
      </c>
      <c r="C112" s="2" t="s">
        <v>131</v>
      </c>
      <c r="D112" s="2" t="s">
        <v>148</v>
      </c>
      <c r="E112" s="2" t="s">
        <v>150</v>
      </c>
      <c r="F112" s="2" t="s">
        <v>154</v>
      </c>
      <c r="G112" s="2">
        <v>3</v>
      </c>
      <c r="H112" s="13">
        <v>26400</v>
      </c>
      <c r="I112" s="13">
        <v>3168</v>
      </c>
      <c r="O112" t="str">
        <f t="shared" si="3"/>
        <v>Simran Kaur</v>
      </c>
      <c r="P112" t="str">
        <f t="shared" si="4"/>
        <v>Furniture</v>
      </c>
      <c r="Q112" t="str">
        <f t="shared" si="5"/>
        <v>East</v>
      </c>
    </row>
    <row r="113" spans="1:17" x14ac:dyDescent="0.3">
      <c r="A113" s="11" t="s">
        <v>120</v>
      </c>
      <c r="B113" s="3">
        <v>45776</v>
      </c>
      <c r="C113" s="2" t="s">
        <v>129</v>
      </c>
      <c r="D113" s="2" t="s">
        <v>144</v>
      </c>
      <c r="E113" s="2" t="s">
        <v>149</v>
      </c>
      <c r="F113" s="2" t="s">
        <v>155</v>
      </c>
      <c r="G113" s="2">
        <v>1</v>
      </c>
      <c r="H113" s="13">
        <v>1650</v>
      </c>
      <c r="I113" s="13">
        <v>132</v>
      </c>
      <c r="O113" t="str">
        <f t="shared" si="3"/>
        <v>Riya Gupta</v>
      </c>
      <c r="P113" t="str">
        <f t="shared" si="4"/>
        <v>Electronics</v>
      </c>
      <c r="Q113" t="str">
        <f t="shared" si="5"/>
        <v>West</v>
      </c>
    </row>
    <row r="114" spans="1:17" x14ac:dyDescent="0.3">
      <c r="A114" s="11" t="s">
        <v>121</v>
      </c>
      <c r="B114" s="3">
        <v>46011</v>
      </c>
      <c r="C114" s="2" t="s">
        <v>131</v>
      </c>
      <c r="D114" s="2" t="s">
        <v>148</v>
      </c>
      <c r="E114" s="2" t="s">
        <v>150</v>
      </c>
      <c r="F114" s="2" t="s">
        <v>152</v>
      </c>
      <c r="G114" s="2">
        <v>2</v>
      </c>
      <c r="H114" s="13">
        <v>14400</v>
      </c>
      <c r="I114" s="13">
        <v>1152</v>
      </c>
      <c r="O114" t="str">
        <f t="shared" si="3"/>
        <v>Simran Kaur</v>
      </c>
      <c r="P114" t="str">
        <f t="shared" si="4"/>
        <v>Furniture</v>
      </c>
      <c r="Q114" t="str">
        <f t="shared" si="5"/>
        <v>North</v>
      </c>
    </row>
    <row r="115" spans="1:17" x14ac:dyDescent="0.3">
      <c r="A115" s="11" t="s">
        <v>122</v>
      </c>
      <c r="B115" s="3">
        <v>45926</v>
      </c>
      <c r="C115" s="2" t="s">
        <v>130</v>
      </c>
      <c r="D115" s="2" t="s">
        <v>145</v>
      </c>
      <c r="E115" s="2" t="s">
        <v>150</v>
      </c>
      <c r="F115" s="2" t="s">
        <v>155</v>
      </c>
      <c r="G115" s="2">
        <v>3</v>
      </c>
      <c r="H115" s="13">
        <v>63750</v>
      </c>
      <c r="I115" s="13">
        <v>5100</v>
      </c>
      <c r="O115" t="str">
        <f t="shared" si="3"/>
        <v>Vikas Jain</v>
      </c>
      <c r="P115" t="str">
        <f t="shared" si="4"/>
        <v>Furniture</v>
      </c>
      <c r="Q115" t="str">
        <f t="shared" si="5"/>
        <v>West</v>
      </c>
    </row>
    <row r="116" spans="1:17" x14ac:dyDescent="0.3">
      <c r="A116" s="11" t="s">
        <v>123</v>
      </c>
      <c r="B116" s="3">
        <v>45749</v>
      </c>
      <c r="C116" s="2" t="s">
        <v>136</v>
      </c>
      <c r="D116" s="2" t="s">
        <v>144</v>
      </c>
      <c r="E116" s="2" t="s">
        <v>149</v>
      </c>
      <c r="F116" s="2" t="s">
        <v>153</v>
      </c>
      <c r="G116" s="2">
        <v>3</v>
      </c>
      <c r="H116" s="13">
        <v>3825</v>
      </c>
      <c r="I116" s="13">
        <v>688.5</v>
      </c>
      <c r="O116" t="str">
        <f t="shared" si="3"/>
        <v>Arjun Malhotra</v>
      </c>
      <c r="P116" t="str">
        <f t="shared" si="4"/>
        <v>Electronics</v>
      </c>
      <c r="Q116" t="str">
        <f t="shared" si="5"/>
        <v>South</v>
      </c>
    </row>
    <row r="117" spans="1:17" x14ac:dyDescent="0.3">
      <c r="A117" s="11" t="s">
        <v>124</v>
      </c>
      <c r="B117" s="3">
        <v>45681</v>
      </c>
      <c r="C117" s="2" t="s">
        <v>129</v>
      </c>
      <c r="D117" s="2" t="s">
        <v>141</v>
      </c>
      <c r="E117" s="2" t="s">
        <v>150</v>
      </c>
      <c r="F117" s="2" t="s">
        <v>153</v>
      </c>
      <c r="G117" s="2">
        <v>1</v>
      </c>
      <c r="H117" s="13">
        <v>3150</v>
      </c>
      <c r="I117" s="13">
        <v>315</v>
      </c>
      <c r="O117" t="str">
        <f t="shared" si="3"/>
        <v>Riya Gupta</v>
      </c>
      <c r="P117" t="str">
        <f t="shared" si="4"/>
        <v>Furniture</v>
      </c>
      <c r="Q117" t="str">
        <f t="shared" si="5"/>
        <v>South</v>
      </c>
    </row>
    <row r="118" spans="1:17" x14ac:dyDescent="0.3">
      <c r="A118" s="11" t="s">
        <v>125</v>
      </c>
      <c r="B118" s="3">
        <v>45664</v>
      </c>
      <c r="C118" s="2" t="s">
        <v>133</v>
      </c>
      <c r="D118" s="2" t="s">
        <v>146</v>
      </c>
      <c r="E118" s="2" t="s">
        <v>149</v>
      </c>
      <c r="F118" s="2" t="s">
        <v>154</v>
      </c>
      <c r="G118" s="2">
        <v>3</v>
      </c>
      <c r="H118" s="13">
        <v>90000</v>
      </c>
      <c r="I118" s="13">
        <v>10800</v>
      </c>
      <c r="O118" t="str">
        <f t="shared" si="3"/>
        <v>Priya Mehta</v>
      </c>
      <c r="P118" t="str">
        <f t="shared" si="4"/>
        <v>Electronics</v>
      </c>
      <c r="Q118" t="str">
        <f t="shared" si="5"/>
        <v>East</v>
      </c>
    </row>
    <row r="119" spans="1:17" x14ac:dyDescent="0.3">
      <c r="A119" s="11" t="s">
        <v>126</v>
      </c>
      <c r="B119" s="3">
        <v>45684</v>
      </c>
      <c r="C119" s="2" t="s">
        <v>134</v>
      </c>
      <c r="D119" s="2" t="s">
        <v>145</v>
      </c>
      <c r="E119" s="2" t="s">
        <v>150</v>
      </c>
      <c r="F119" s="2" t="s">
        <v>155</v>
      </c>
      <c r="G119" s="2">
        <v>3</v>
      </c>
      <c r="H119" s="13">
        <v>75000</v>
      </c>
      <c r="I119" s="13">
        <v>4500</v>
      </c>
      <c r="O119" t="str">
        <f t="shared" si="3"/>
        <v>Amit Verma</v>
      </c>
      <c r="P119" t="str">
        <f t="shared" si="4"/>
        <v>Furniture</v>
      </c>
      <c r="Q119" t="str">
        <f t="shared" si="5"/>
        <v>West</v>
      </c>
    </row>
    <row r="120" spans="1:17" x14ac:dyDescent="0.3">
      <c r="A120" s="11" t="s">
        <v>127</v>
      </c>
      <c r="B120" s="3">
        <v>45695</v>
      </c>
      <c r="C120" s="2" t="s">
        <v>135</v>
      </c>
      <c r="D120" s="2" t="s">
        <v>139</v>
      </c>
      <c r="E120" s="2" t="s">
        <v>149</v>
      </c>
      <c r="F120" s="2" t="s">
        <v>154</v>
      </c>
      <c r="G120" s="2">
        <v>1</v>
      </c>
      <c r="H120" s="13">
        <v>16200</v>
      </c>
      <c r="I120" s="13">
        <v>1296</v>
      </c>
      <c r="O120" t="str">
        <f t="shared" si="3"/>
        <v>Karan Arora</v>
      </c>
      <c r="P120" t="str">
        <f t="shared" si="4"/>
        <v>Electronics</v>
      </c>
      <c r="Q120" t="str">
        <f t="shared" si="5"/>
        <v>East</v>
      </c>
    </row>
    <row r="121" spans="1:17" x14ac:dyDescent="0.3">
      <c r="A121" s="11" t="s">
        <v>128</v>
      </c>
      <c r="B121" s="3">
        <v>45785</v>
      </c>
      <c r="C121" s="2" t="s">
        <v>133</v>
      </c>
      <c r="D121" s="2" t="s">
        <v>147</v>
      </c>
      <c r="E121" s="2" t="s">
        <v>150</v>
      </c>
      <c r="F121" s="2" t="s">
        <v>155</v>
      </c>
      <c r="G121" s="2">
        <v>1</v>
      </c>
      <c r="H121" s="13">
        <v>9450</v>
      </c>
      <c r="I121" s="13">
        <v>1134</v>
      </c>
      <c r="O121" t="str">
        <f t="shared" si="3"/>
        <v>Priya Mehta</v>
      </c>
      <c r="P121" t="str">
        <f t="shared" si="4"/>
        <v>Furniture</v>
      </c>
      <c r="Q121" t="str">
        <f t="shared" si="5"/>
        <v>West</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DFC07-882E-4F5F-875B-4FA5C4A17FD4}">
  <dimension ref="A1:D6"/>
  <sheetViews>
    <sheetView zoomScale="76" workbookViewId="0">
      <selection activeCell="C13" sqref="C13"/>
    </sheetView>
  </sheetViews>
  <sheetFormatPr defaultRowHeight="14.4" x14ac:dyDescent="0.3"/>
  <cols>
    <col min="1" max="1" width="24.88671875" customWidth="1"/>
    <col min="2" max="2" width="35.6640625" customWidth="1"/>
    <col min="3" max="3" width="46.44140625" customWidth="1"/>
    <col min="4" max="4" width="65.5546875" customWidth="1"/>
  </cols>
  <sheetData>
    <row r="1" spans="1:4" ht="19.8" x14ac:dyDescent="0.3">
      <c r="A1" s="7" t="s">
        <v>157</v>
      </c>
      <c r="B1" s="7" t="s">
        <v>158</v>
      </c>
      <c r="C1" s="7" t="s">
        <v>159</v>
      </c>
      <c r="D1" s="7" t="s">
        <v>160</v>
      </c>
    </row>
    <row r="2" spans="1:4" ht="39.6" x14ac:dyDescent="0.3">
      <c r="A2" s="8" t="s">
        <v>161</v>
      </c>
      <c r="B2" s="8" t="s">
        <v>162</v>
      </c>
      <c r="C2" s="8" t="s">
        <v>163</v>
      </c>
      <c r="D2" s="8" t="s">
        <v>164</v>
      </c>
    </row>
    <row r="3" spans="1:4" ht="19.8" x14ac:dyDescent="0.3">
      <c r="A3" s="8" t="s">
        <v>165</v>
      </c>
      <c r="B3" s="8" t="s">
        <v>54</v>
      </c>
      <c r="C3" s="8" t="s">
        <v>166</v>
      </c>
      <c r="D3" s="8" t="s">
        <v>167</v>
      </c>
    </row>
    <row r="4" spans="1:4" ht="19.8" x14ac:dyDescent="0.3">
      <c r="A4" s="8" t="s">
        <v>168</v>
      </c>
      <c r="B4" s="8" t="s">
        <v>61</v>
      </c>
      <c r="C4" s="8" t="s">
        <v>166</v>
      </c>
      <c r="D4" s="8" t="s">
        <v>167</v>
      </c>
    </row>
    <row r="5" spans="1:4" ht="39.6" x14ac:dyDescent="0.3">
      <c r="A5" s="8" t="s">
        <v>172</v>
      </c>
      <c r="B5" s="8" t="s">
        <v>173</v>
      </c>
      <c r="C5" s="8" t="s">
        <v>174</v>
      </c>
      <c r="D5" s="9" t="s">
        <v>175</v>
      </c>
    </row>
    <row r="6" spans="1:4" ht="39.6" x14ac:dyDescent="0.3">
      <c r="A6" s="8" t="s">
        <v>176</v>
      </c>
      <c r="B6" s="8" t="s">
        <v>177</v>
      </c>
      <c r="C6" s="8" t="s">
        <v>178</v>
      </c>
      <c r="D6" s="8" t="s">
        <v>179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61C62-7A02-44AE-B65C-F08F721045BD}">
  <dimension ref="A1:F24"/>
  <sheetViews>
    <sheetView zoomScale="84" workbookViewId="0">
      <selection activeCell="D4" sqref="D4"/>
    </sheetView>
  </sheetViews>
  <sheetFormatPr defaultRowHeight="14.4" x14ac:dyDescent="0.3"/>
  <cols>
    <col min="1" max="1" width="14" customWidth="1"/>
    <col min="2" max="2" width="43.77734375" customWidth="1"/>
    <col min="3" max="3" width="46.6640625" customWidth="1"/>
    <col min="4" max="4" width="86.109375" customWidth="1"/>
    <col min="5" max="5" width="24.109375" customWidth="1"/>
    <col min="6" max="6" width="27.33203125" customWidth="1"/>
    <col min="8" max="8" width="24.6640625" customWidth="1"/>
    <col min="9" max="9" width="8.88671875" customWidth="1"/>
    <col min="11" max="11" width="27" customWidth="1"/>
    <col min="14" max="14" width="27.5546875" customWidth="1"/>
  </cols>
  <sheetData>
    <row r="1" spans="1:6" ht="32.4" x14ac:dyDescent="0.6">
      <c r="D1" s="28" t="s">
        <v>180</v>
      </c>
    </row>
    <row r="2" spans="1:6" ht="15" thickBot="1" x14ac:dyDescent="0.35"/>
    <row r="3" spans="1:6" ht="51.6" x14ac:dyDescent="0.5">
      <c r="B3" s="26" t="s">
        <v>181</v>
      </c>
      <c r="C3" s="26" t="s">
        <v>182</v>
      </c>
      <c r="D3" s="26" t="s">
        <v>183</v>
      </c>
      <c r="E3" s="27" t="s">
        <v>184</v>
      </c>
      <c r="F3" s="26" t="s">
        <v>185</v>
      </c>
    </row>
    <row r="4" spans="1:6" ht="19.8" customHeight="1" thickBot="1" x14ac:dyDescent="0.45">
      <c r="B4" s="17">
        <f>SUM('Cleaned Dataset'!H2:H121)</f>
        <v>4826425</v>
      </c>
      <c r="C4" s="17">
        <f>SUM('Cleaned Dataset'!I2:I121)</f>
        <v>571987.25</v>
      </c>
      <c r="D4" s="16">
        <f>COUNTA('Cleaned Dataset'!A2:A121)</f>
        <v>120</v>
      </c>
      <c r="E4" s="17">
        <f>B4/D4</f>
        <v>40220.208333333336</v>
      </c>
      <c r="F4" s="18">
        <f>C4/B4</f>
        <v>0.11851157948170747</v>
      </c>
    </row>
    <row r="6" spans="1:6" ht="19.8" x14ac:dyDescent="0.4">
      <c r="A6" s="31" t="s">
        <v>214</v>
      </c>
      <c r="B6" s="29" t="s">
        <v>215</v>
      </c>
      <c r="C6" s="29" t="s">
        <v>216</v>
      </c>
      <c r="D6" s="29" t="s">
        <v>217</v>
      </c>
    </row>
    <row r="7" spans="1:6" ht="31.2" x14ac:dyDescent="0.3">
      <c r="A7" s="25">
        <v>1</v>
      </c>
      <c r="B7" s="30" t="s">
        <v>218</v>
      </c>
      <c r="C7" s="30" t="s">
        <v>219</v>
      </c>
      <c r="D7" s="30" t="s">
        <v>220</v>
      </c>
    </row>
    <row r="8" spans="1:6" ht="31.2" x14ac:dyDescent="0.3">
      <c r="A8" s="25">
        <v>2</v>
      </c>
      <c r="B8" s="30" t="s">
        <v>221</v>
      </c>
      <c r="C8" s="30" t="s">
        <v>222</v>
      </c>
      <c r="D8" s="30" t="s">
        <v>223</v>
      </c>
    </row>
    <row r="9" spans="1:6" ht="31.2" x14ac:dyDescent="0.3">
      <c r="A9" s="25">
        <v>3</v>
      </c>
      <c r="B9" s="30" t="s">
        <v>224</v>
      </c>
      <c r="C9" s="30" t="s">
        <v>225</v>
      </c>
      <c r="D9" s="30" t="s">
        <v>226</v>
      </c>
    </row>
    <row r="10" spans="1:6" ht="31.2" x14ac:dyDescent="0.3">
      <c r="A10" s="25">
        <v>4</v>
      </c>
      <c r="B10" s="30" t="s">
        <v>227</v>
      </c>
      <c r="C10" s="30" t="s">
        <v>228</v>
      </c>
      <c r="D10" s="30" t="s">
        <v>229</v>
      </c>
    </row>
    <row r="11" spans="1:6" ht="31.2" x14ac:dyDescent="0.3">
      <c r="A11" s="25">
        <v>5</v>
      </c>
      <c r="B11" s="30" t="s">
        <v>230</v>
      </c>
      <c r="C11" s="30" t="s">
        <v>231</v>
      </c>
      <c r="D11" s="30" t="s">
        <v>232</v>
      </c>
    </row>
    <row r="12" spans="1:6" ht="31.2" x14ac:dyDescent="0.3">
      <c r="A12" s="25">
        <v>6</v>
      </c>
      <c r="B12" s="30" t="s">
        <v>233</v>
      </c>
      <c r="C12" s="30" t="s">
        <v>234</v>
      </c>
      <c r="D12" s="30" t="s">
        <v>235</v>
      </c>
    </row>
    <row r="13" spans="1:6" ht="31.2" x14ac:dyDescent="0.3">
      <c r="A13" s="25">
        <v>7</v>
      </c>
      <c r="B13" s="30" t="s">
        <v>236</v>
      </c>
      <c r="C13" s="30" t="s">
        <v>237</v>
      </c>
      <c r="D13" s="30" t="s">
        <v>238</v>
      </c>
    </row>
    <row r="14" spans="1:6" ht="31.2" x14ac:dyDescent="0.3">
      <c r="A14" s="25">
        <v>8</v>
      </c>
      <c r="B14" s="30" t="s">
        <v>239</v>
      </c>
      <c r="C14" s="30" t="s">
        <v>240</v>
      </c>
      <c r="D14" s="30" t="s">
        <v>241</v>
      </c>
    </row>
    <row r="15" spans="1:6" ht="31.2" x14ac:dyDescent="0.3">
      <c r="A15" s="25">
        <v>9</v>
      </c>
      <c r="B15" s="30" t="s">
        <v>242</v>
      </c>
      <c r="C15" s="30" t="s">
        <v>243</v>
      </c>
      <c r="D15" s="30" t="s">
        <v>244</v>
      </c>
    </row>
    <row r="16" spans="1:6" ht="46.8" x14ac:dyDescent="0.3">
      <c r="A16" s="25">
        <v>10</v>
      </c>
      <c r="B16" s="30" t="s">
        <v>245</v>
      </c>
      <c r="C16" s="30" t="s">
        <v>246</v>
      </c>
      <c r="D16" s="30" t="s">
        <v>247</v>
      </c>
    </row>
    <row r="17" spans="1:4" x14ac:dyDescent="0.3">
      <c r="A17" s="2"/>
      <c r="B17" s="2"/>
      <c r="C17" s="2"/>
      <c r="D17" s="2"/>
    </row>
    <row r="18" spans="1:4" ht="19.8" x14ac:dyDescent="0.4">
      <c r="A18" s="48" t="s">
        <v>248</v>
      </c>
      <c r="B18" s="48"/>
      <c r="C18" s="48"/>
      <c r="D18" s="48"/>
    </row>
    <row r="19" spans="1:4" ht="72" customHeight="1" x14ac:dyDescent="0.3">
      <c r="A19" s="49" t="s">
        <v>249</v>
      </c>
      <c r="B19" s="50"/>
      <c r="C19" s="50"/>
      <c r="D19" s="50"/>
    </row>
    <row r="20" spans="1:4" x14ac:dyDescent="0.3">
      <c r="A20" s="50"/>
      <c r="B20" s="50"/>
      <c r="C20" s="50"/>
      <c r="D20" s="50"/>
    </row>
    <row r="21" spans="1:4" x14ac:dyDescent="0.3">
      <c r="A21" s="50"/>
      <c r="B21" s="50"/>
      <c r="C21" s="50"/>
      <c r="D21" s="50"/>
    </row>
    <row r="22" spans="1:4" x14ac:dyDescent="0.3">
      <c r="A22" s="2"/>
      <c r="B22" s="2"/>
      <c r="C22" s="2"/>
      <c r="D22" s="2"/>
    </row>
    <row r="23" spans="1:4" ht="57.6" customHeight="1" x14ac:dyDescent="0.3">
      <c r="A23" s="32" t="s">
        <v>250</v>
      </c>
      <c r="B23" s="49" t="s">
        <v>251</v>
      </c>
      <c r="C23" s="50"/>
      <c r="D23" s="50"/>
    </row>
    <row r="24" spans="1:4" x14ac:dyDescent="0.3">
      <c r="B24" s="15"/>
    </row>
  </sheetData>
  <mergeCells count="3">
    <mergeCell ref="A18:D18"/>
    <mergeCell ref="A19:D21"/>
    <mergeCell ref="B23:D2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D55FF-F153-4332-A25E-3886751ADC53}">
  <dimension ref="B1:N48"/>
  <sheetViews>
    <sheetView tabSelected="1" topLeftCell="B2" zoomScale="53" zoomScaleNormal="47" workbookViewId="0">
      <selection activeCell="F24" sqref="F24"/>
    </sheetView>
  </sheetViews>
  <sheetFormatPr defaultRowHeight="14.4" x14ac:dyDescent="0.3"/>
  <cols>
    <col min="2" max="3" width="24.5546875" customWidth="1"/>
    <col min="4" max="4" width="25.109375" customWidth="1"/>
    <col min="5" max="5" width="23.5546875" customWidth="1"/>
    <col min="6" max="6" width="35.33203125" customWidth="1"/>
    <col min="7" max="7" width="26" customWidth="1"/>
    <col min="8" max="8" width="31.88671875" customWidth="1"/>
    <col min="9" max="9" width="25.5546875" customWidth="1"/>
    <col min="10" max="10" width="36.21875" customWidth="1"/>
  </cols>
  <sheetData>
    <row r="1" spans="2:14" ht="14.4" customHeight="1" x14ac:dyDescent="0.3">
      <c r="E1" s="51" t="s">
        <v>252</v>
      </c>
      <c r="F1" s="52"/>
      <c r="G1" s="52"/>
      <c r="H1" s="53"/>
      <c r="L1" s="33"/>
      <c r="M1" s="33"/>
      <c r="N1" s="33"/>
    </row>
    <row r="2" spans="2:14" ht="14.4" customHeight="1" thickBot="1" x14ac:dyDescent="0.35">
      <c r="E2" s="54"/>
      <c r="F2" s="55"/>
      <c r="G2" s="55"/>
      <c r="H2" s="56"/>
      <c r="L2" s="33"/>
      <c r="M2" s="33"/>
      <c r="N2" s="33"/>
    </row>
    <row r="3" spans="2:14" ht="15" thickBot="1" x14ac:dyDescent="0.35"/>
    <row r="4" spans="2:14" ht="51.6" x14ac:dyDescent="0.5">
      <c r="B4" s="37" t="s">
        <v>181</v>
      </c>
      <c r="C4" s="33"/>
      <c r="D4" s="37" t="s">
        <v>182</v>
      </c>
      <c r="E4" s="33"/>
      <c r="F4" s="38" t="s">
        <v>183</v>
      </c>
      <c r="G4" s="36"/>
      <c r="H4" s="39" t="s">
        <v>184</v>
      </c>
      <c r="I4" s="35"/>
      <c r="J4" s="38" t="s">
        <v>185</v>
      </c>
    </row>
    <row r="5" spans="2:14" ht="20.399999999999999" thickBot="1" x14ac:dyDescent="0.45">
      <c r="B5" s="42">
        <f>Analysis!B4</f>
        <v>4826425</v>
      </c>
      <c r="C5" s="21"/>
      <c r="D5" s="42">
        <f>Analysis!C4</f>
        <v>571987.25</v>
      </c>
      <c r="E5" s="21"/>
      <c r="F5" s="41">
        <f>Analysis!D4</f>
        <v>120</v>
      </c>
      <c r="G5" s="21"/>
      <c r="H5" s="42">
        <f>Analysis!E4</f>
        <v>40220.208333333336</v>
      </c>
      <c r="I5" s="21"/>
      <c r="J5" s="43">
        <f>Analysis!F4</f>
        <v>0.11851157948170747</v>
      </c>
    </row>
    <row r="17" spans="3:10" x14ac:dyDescent="0.3">
      <c r="E17" s="6"/>
      <c r="I17" s="6"/>
    </row>
    <row r="23" spans="3:10" ht="15" thickBot="1" x14ac:dyDescent="0.35"/>
    <row r="24" spans="3:10" ht="20.399999999999999" thickBot="1" x14ac:dyDescent="0.35">
      <c r="C24" s="44" t="s">
        <v>253</v>
      </c>
      <c r="D24" s="45"/>
      <c r="F24" s="40"/>
      <c r="H24" s="44" t="s">
        <v>254</v>
      </c>
      <c r="I24" s="45"/>
      <c r="J24" s="40"/>
    </row>
    <row r="31" spans="3:10" x14ac:dyDescent="0.3">
      <c r="E31" s="15"/>
    </row>
    <row r="47" spans="3:9" ht="15" thickBot="1" x14ac:dyDescent="0.35"/>
    <row r="48" spans="3:9" ht="20.399999999999999" thickBot="1" x14ac:dyDescent="0.45">
      <c r="C48" s="44" t="s">
        <v>255</v>
      </c>
      <c r="D48" s="45"/>
      <c r="H48" s="46" t="s">
        <v>257</v>
      </c>
      <c r="I48" s="47"/>
    </row>
  </sheetData>
  <mergeCells count="5">
    <mergeCell ref="E1:H2"/>
    <mergeCell ref="H24:I24"/>
    <mergeCell ref="H48:I48"/>
    <mergeCell ref="C48:D48"/>
    <mergeCell ref="C24:D2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27BDF-2436-4A34-BF64-DC40B788DD55}">
  <dimension ref="A1:Q37"/>
  <sheetViews>
    <sheetView workbookViewId="0">
      <selection activeCell="B2" sqref="B2"/>
    </sheetView>
  </sheetViews>
  <sheetFormatPr defaultRowHeight="14.4" x14ac:dyDescent="0.3"/>
  <cols>
    <col min="1" max="1" width="12.5546875" bestFit="1" customWidth="1"/>
    <col min="2" max="2" width="12.109375" bestFit="1" customWidth="1"/>
    <col min="3" max="3" width="11.6640625" bestFit="1" customWidth="1"/>
    <col min="4" max="4" width="14" customWidth="1"/>
    <col min="5" max="6" width="12.5546875" bestFit="1" customWidth="1"/>
    <col min="7" max="7" width="12.109375" bestFit="1" customWidth="1"/>
    <col min="8" max="8" width="10.77734375" bestFit="1" customWidth="1"/>
    <col min="9" max="9" width="12.5546875" bestFit="1" customWidth="1"/>
    <col min="10" max="10" width="14.88671875" bestFit="1" customWidth="1"/>
    <col min="11" max="11" width="11.6640625" bestFit="1" customWidth="1"/>
    <col min="12" max="12" width="12.109375" bestFit="1" customWidth="1"/>
    <col min="14" max="14" width="12.5546875" customWidth="1"/>
    <col min="15" max="15" width="11.6640625" bestFit="1" customWidth="1"/>
    <col min="16" max="16" width="12.109375" customWidth="1"/>
    <col min="17" max="17" width="14.33203125" customWidth="1"/>
  </cols>
  <sheetData>
    <row r="1" spans="1:17" x14ac:dyDescent="0.3">
      <c r="A1" s="19" t="s">
        <v>186</v>
      </c>
      <c r="B1" t="s">
        <v>188</v>
      </c>
      <c r="C1" t="s">
        <v>189</v>
      </c>
      <c r="E1" s="19" t="s">
        <v>186</v>
      </c>
      <c r="F1" t="s">
        <v>189</v>
      </c>
      <c r="G1" t="s">
        <v>188</v>
      </c>
      <c r="I1" s="19" t="s">
        <v>186</v>
      </c>
      <c r="J1" t="s">
        <v>192</v>
      </c>
      <c r="K1" t="s">
        <v>188</v>
      </c>
      <c r="L1" t="s">
        <v>189</v>
      </c>
      <c r="N1" s="19" t="s">
        <v>186</v>
      </c>
      <c r="O1" t="s">
        <v>194</v>
      </c>
      <c r="P1" t="s">
        <v>188</v>
      </c>
      <c r="Q1" t="s">
        <v>189</v>
      </c>
    </row>
    <row r="2" spans="1:17" x14ac:dyDescent="0.3">
      <c r="A2" s="20" t="s">
        <v>154</v>
      </c>
      <c r="B2">
        <v>1416375</v>
      </c>
      <c r="C2">
        <v>163617</v>
      </c>
      <c r="E2" s="20" t="s">
        <v>149</v>
      </c>
      <c r="F2">
        <v>330934.25</v>
      </c>
      <c r="G2">
        <v>2807175</v>
      </c>
      <c r="I2" s="20" t="s">
        <v>147</v>
      </c>
      <c r="J2">
        <v>22</v>
      </c>
      <c r="K2">
        <v>194400</v>
      </c>
      <c r="L2">
        <v>22167</v>
      </c>
      <c r="N2" s="20" t="s">
        <v>134</v>
      </c>
      <c r="O2">
        <v>9</v>
      </c>
      <c r="P2">
        <v>262975</v>
      </c>
      <c r="Q2">
        <v>33184.5</v>
      </c>
    </row>
    <row r="3" spans="1:17" x14ac:dyDescent="0.3">
      <c r="A3" s="20" t="s">
        <v>152</v>
      </c>
      <c r="B3">
        <v>1451175</v>
      </c>
      <c r="C3">
        <v>182631</v>
      </c>
      <c r="E3" s="20" t="s">
        <v>150</v>
      </c>
      <c r="F3">
        <v>241053</v>
      </c>
      <c r="G3">
        <v>2019250</v>
      </c>
      <c r="I3" s="20" t="s">
        <v>141</v>
      </c>
      <c r="J3">
        <v>31</v>
      </c>
      <c r="K3">
        <v>87900</v>
      </c>
      <c r="L3">
        <v>9816</v>
      </c>
      <c r="N3" s="20" t="s">
        <v>138</v>
      </c>
      <c r="O3">
        <v>7</v>
      </c>
      <c r="P3">
        <v>327100</v>
      </c>
      <c r="Q3">
        <v>30255</v>
      </c>
    </row>
    <row r="4" spans="1:17" x14ac:dyDescent="0.3">
      <c r="A4" s="20" t="s">
        <v>153</v>
      </c>
      <c r="B4">
        <v>597175</v>
      </c>
      <c r="C4">
        <v>69363.25</v>
      </c>
      <c r="E4" s="20" t="s">
        <v>187</v>
      </c>
      <c r="F4">
        <v>571987.25</v>
      </c>
      <c r="G4">
        <v>4826425</v>
      </c>
      <c r="I4" s="20" t="s">
        <v>140</v>
      </c>
      <c r="J4">
        <v>34</v>
      </c>
      <c r="K4">
        <v>83625</v>
      </c>
      <c r="L4">
        <v>11007.5</v>
      </c>
      <c r="N4" s="20" t="s">
        <v>132</v>
      </c>
      <c r="O4">
        <v>12</v>
      </c>
      <c r="P4">
        <v>374900</v>
      </c>
      <c r="Q4">
        <v>27160.5</v>
      </c>
    </row>
    <row r="5" spans="1:17" x14ac:dyDescent="0.3">
      <c r="A5" s="20" t="s">
        <v>155</v>
      </c>
      <c r="B5">
        <v>1361700</v>
      </c>
      <c r="C5">
        <v>156376</v>
      </c>
      <c r="F5" s="21" t="s">
        <v>191</v>
      </c>
      <c r="I5" s="20" t="s">
        <v>143</v>
      </c>
      <c r="J5">
        <v>26</v>
      </c>
      <c r="K5">
        <v>1536000</v>
      </c>
      <c r="L5">
        <v>179430</v>
      </c>
      <c r="N5" s="20" t="s">
        <v>130</v>
      </c>
      <c r="O5">
        <v>16</v>
      </c>
      <c r="P5">
        <v>386375</v>
      </c>
      <c r="Q5">
        <v>50616.75</v>
      </c>
    </row>
    <row r="6" spans="1:17" x14ac:dyDescent="0.3">
      <c r="A6" s="20" t="s">
        <v>187</v>
      </c>
      <c r="B6">
        <v>4826425</v>
      </c>
      <c r="C6">
        <v>571987.25</v>
      </c>
      <c r="I6" s="20" t="s">
        <v>139</v>
      </c>
      <c r="J6">
        <v>26</v>
      </c>
      <c r="K6">
        <v>460800</v>
      </c>
      <c r="L6">
        <v>62586</v>
      </c>
      <c r="N6" s="20" t="s">
        <v>135</v>
      </c>
      <c r="O6">
        <v>12</v>
      </c>
      <c r="P6">
        <v>477950</v>
      </c>
      <c r="Q6">
        <v>61824</v>
      </c>
    </row>
    <row r="7" spans="1:17" x14ac:dyDescent="0.3">
      <c r="B7" s="6" t="s">
        <v>190</v>
      </c>
      <c r="I7" s="20" t="s">
        <v>144</v>
      </c>
      <c r="J7">
        <v>32</v>
      </c>
      <c r="K7">
        <v>46350</v>
      </c>
      <c r="L7">
        <v>4866.75</v>
      </c>
      <c r="N7" s="20" t="s">
        <v>136</v>
      </c>
      <c r="O7">
        <v>9</v>
      </c>
      <c r="P7">
        <v>492175</v>
      </c>
      <c r="Q7">
        <v>55792.5</v>
      </c>
    </row>
    <row r="8" spans="1:17" x14ac:dyDescent="0.3">
      <c r="I8" s="20" t="s">
        <v>148</v>
      </c>
      <c r="J8">
        <v>18</v>
      </c>
      <c r="K8">
        <v>138800</v>
      </c>
      <c r="L8">
        <v>13584</v>
      </c>
      <c r="N8" s="20" t="s">
        <v>137</v>
      </c>
      <c r="O8">
        <v>10</v>
      </c>
      <c r="P8">
        <v>510525</v>
      </c>
      <c r="Q8">
        <v>50332</v>
      </c>
    </row>
    <row r="9" spans="1:17" x14ac:dyDescent="0.3">
      <c r="A9" s="19" t="s">
        <v>186</v>
      </c>
      <c r="B9" t="s">
        <v>188</v>
      </c>
      <c r="C9" t="s">
        <v>189</v>
      </c>
      <c r="I9" s="20" t="s">
        <v>142</v>
      </c>
      <c r="J9">
        <v>35</v>
      </c>
      <c r="K9">
        <v>391800</v>
      </c>
      <c r="L9">
        <v>59130</v>
      </c>
      <c r="N9" s="20" t="s">
        <v>129</v>
      </c>
      <c r="O9">
        <v>15</v>
      </c>
      <c r="P9">
        <v>611400</v>
      </c>
      <c r="Q9">
        <v>84294</v>
      </c>
    </row>
    <row r="10" spans="1:17" x14ac:dyDescent="0.3">
      <c r="A10" s="20" t="s">
        <v>196</v>
      </c>
      <c r="B10">
        <v>604825</v>
      </c>
      <c r="C10">
        <v>70911</v>
      </c>
      <c r="I10" s="20" t="s">
        <v>146</v>
      </c>
      <c r="J10">
        <v>22</v>
      </c>
      <c r="K10">
        <v>648000</v>
      </c>
      <c r="L10">
        <v>71100</v>
      </c>
      <c r="N10" s="20" t="s">
        <v>131</v>
      </c>
      <c r="O10">
        <v>16</v>
      </c>
      <c r="P10">
        <v>615975</v>
      </c>
      <c r="Q10">
        <v>85482</v>
      </c>
    </row>
    <row r="11" spans="1:17" x14ac:dyDescent="0.3">
      <c r="A11" s="20" t="s">
        <v>197</v>
      </c>
      <c r="B11">
        <v>249600</v>
      </c>
      <c r="C11">
        <v>33714</v>
      </c>
      <c r="I11" s="20" t="s">
        <v>145</v>
      </c>
      <c r="J11">
        <v>50</v>
      </c>
      <c r="K11">
        <v>1238750</v>
      </c>
      <c r="L11">
        <v>138300</v>
      </c>
      <c r="N11" s="20" t="s">
        <v>133</v>
      </c>
      <c r="O11">
        <v>14</v>
      </c>
      <c r="P11">
        <v>767050</v>
      </c>
      <c r="Q11">
        <v>93046</v>
      </c>
    </row>
    <row r="12" spans="1:17" x14ac:dyDescent="0.3">
      <c r="A12" s="20" t="s">
        <v>198</v>
      </c>
      <c r="B12">
        <v>391675</v>
      </c>
      <c r="C12">
        <v>47844</v>
      </c>
      <c r="I12" s="20" t="s">
        <v>187</v>
      </c>
      <c r="J12">
        <v>296</v>
      </c>
      <c r="K12">
        <v>4826425</v>
      </c>
      <c r="L12">
        <v>571987.25</v>
      </c>
      <c r="N12" s="20" t="s">
        <v>187</v>
      </c>
      <c r="O12">
        <v>120</v>
      </c>
      <c r="P12">
        <v>4826425</v>
      </c>
      <c r="Q12">
        <v>571987.25</v>
      </c>
    </row>
    <row r="13" spans="1:17" x14ac:dyDescent="0.3">
      <c r="A13" s="20" t="s">
        <v>199</v>
      </c>
      <c r="B13">
        <v>572550</v>
      </c>
      <c r="C13">
        <v>79273</v>
      </c>
      <c r="J13" s="21" t="s">
        <v>195</v>
      </c>
      <c r="O13" s="21" t="s">
        <v>193</v>
      </c>
    </row>
    <row r="14" spans="1:17" ht="15" thickBot="1" x14ac:dyDescent="0.35">
      <c r="A14" s="20" t="s">
        <v>200</v>
      </c>
      <c r="B14">
        <v>637800</v>
      </c>
      <c r="C14">
        <v>82340.75</v>
      </c>
    </row>
    <row r="15" spans="1:17" ht="15" thickBot="1" x14ac:dyDescent="0.35">
      <c r="A15" s="20" t="s">
        <v>201</v>
      </c>
      <c r="B15">
        <v>293500</v>
      </c>
      <c r="C15">
        <v>37257</v>
      </c>
      <c r="I15" s="19" t="s">
        <v>188</v>
      </c>
      <c r="J15" s="19" t="s">
        <v>209</v>
      </c>
      <c r="N15" s="19" t="s">
        <v>186</v>
      </c>
      <c r="O15" t="s">
        <v>188</v>
      </c>
      <c r="P15" t="s">
        <v>189</v>
      </c>
      <c r="Q15" s="22" t="s">
        <v>212</v>
      </c>
    </row>
    <row r="16" spans="1:17" x14ac:dyDescent="0.3">
      <c r="A16" s="20" t="s">
        <v>202</v>
      </c>
      <c r="B16">
        <v>580025</v>
      </c>
      <c r="C16">
        <v>59300.5</v>
      </c>
      <c r="I16" s="19" t="s">
        <v>186</v>
      </c>
      <c r="J16" t="s">
        <v>149</v>
      </c>
      <c r="K16" t="s">
        <v>150</v>
      </c>
      <c r="L16" t="s">
        <v>187</v>
      </c>
      <c r="N16" s="20" t="s">
        <v>147</v>
      </c>
      <c r="O16">
        <v>194400</v>
      </c>
      <c r="P16">
        <v>22167</v>
      </c>
      <c r="Q16" s="23">
        <f>GETPIVOTDATA("Sum of Profit",$N$15,"Product","Bookshelf")/GETPIVOTDATA("Sum of Sales",$N$15,"Product","Bookshelf")</f>
        <v>0.11402777777777778</v>
      </c>
    </row>
    <row r="17" spans="1:17" x14ac:dyDescent="0.3">
      <c r="A17" s="20" t="s">
        <v>203</v>
      </c>
      <c r="B17">
        <v>337950</v>
      </c>
      <c r="C17">
        <v>42196</v>
      </c>
      <c r="I17" s="20" t="s">
        <v>154</v>
      </c>
      <c r="J17">
        <v>1029225</v>
      </c>
      <c r="K17">
        <v>387150</v>
      </c>
      <c r="L17">
        <v>1416375</v>
      </c>
      <c r="N17" s="20" t="s">
        <v>141</v>
      </c>
      <c r="O17">
        <v>87900</v>
      </c>
      <c r="P17">
        <v>9816</v>
      </c>
      <c r="Q17" s="23">
        <f>GETPIVOTDATA("Sum of Profit",$N$15,"Product","Desk Lamp")/GETPIVOTDATA("Sum of Sales",$N$15,"Product","Desk Lamp")</f>
        <v>0.11167235494880547</v>
      </c>
    </row>
    <row r="18" spans="1:17" x14ac:dyDescent="0.3">
      <c r="A18" s="20" t="s">
        <v>204</v>
      </c>
      <c r="B18">
        <v>192525</v>
      </c>
      <c r="C18">
        <v>17272.5</v>
      </c>
      <c r="I18" s="20" t="s">
        <v>152</v>
      </c>
      <c r="J18">
        <v>755175</v>
      </c>
      <c r="K18">
        <v>696000</v>
      </c>
      <c r="L18">
        <v>1451175</v>
      </c>
      <c r="N18" s="20" t="s">
        <v>140</v>
      </c>
      <c r="O18">
        <v>83625</v>
      </c>
      <c r="P18">
        <v>11007.5</v>
      </c>
      <c r="Q18" s="23">
        <f>GETPIVOTDATA("Sum of Profit",$N$15,"Product","Keyboard")/GETPIVOTDATA("Sum of Sales",$N$15,"Product","Keyboard")</f>
        <v>0.13162929745889387</v>
      </c>
    </row>
    <row r="19" spans="1:17" x14ac:dyDescent="0.3">
      <c r="A19" s="20" t="s">
        <v>205</v>
      </c>
      <c r="B19">
        <v>303950</v>
      </c>
      <c r="C19">
        <v>38863.5</v>
      </c>
      <c r="I19" s="20" t="s">
        <v>153</v>
      </c>
      <c r="J19">
        <v>283775</v>
      </c>
      <c r="K19">
        <v>313400</v>
      </c>
      <c r="L19">
        <v>597175</v>
      </c>
      <c r="N19" s="20" t="s">
        <v>143</v>
      </c>
      <c r="O19">
        <v>1536000</v>
      </c>
      <c r="P19">
        <v>179430</v>
      </c>
      <c r="Q19" s="23">
        <f>GETPIVOTDATA("Sum of Profit",$N$15,"Product","Laptop")/GETPIVOTDATA("Sum of Sales",$N$15,"Product","Laptop")</f>
        <v>0.11681640625</v>
      </c>
    </row>
    <row r="20" spans="1:17" x14ac:dyDescent="0.3">
      <c r="A20" s="20" t="s">
        <v>206</v>
      </c>
      <c r="B20">
        <v>201375</v>
      </c>
      <c r="C20">
        <v>25383</v>
      </c>
      <c r="I20" s="20" t="s">
        <v>155</v>
      </c>
      <c r="J20">
        <v>739000</v>
      </c>
      <c r="K20">
        <v>622700</v>
      </c>
      <c r="L20">
        <v>1361700</v>
      </c>
      <c r="N20" s="20" t="s">
        <v>139</v>
      </c>
      <c r="O20">
        <v>460800</v>
      </c>
      <c r="P20">
        <v>62586</v>
      </c>
      <c r="Q20" s="23">
        <f>GETPIVOTDATA("Sum of Profit",$N$15,"Product","Monitor")/GETPIVOTDATA("Sum of Sales",$N$15,"Product","Monitor")</f>
        <v>0.13582031250000001</v>
      </c>
    </row>
    <row r="21" spans="1:17" x14ac:dyDescent="0.3">
      <c r="A21" s="20" t="s">
        <v>207</v>
      </c>
      <c r="B21">
        <v>460650</v>
      </c>
      <c r="C21">
        <v>37632</v>
      </c>
      <c r="I21" s="20" t="s">
        <v>187</v>
      </c>
      <c r="J21">
        <v>2807175</v>
      </c>
      <c r="K21">
        <v>2019250</v>
      </c>
      <c r="L21">
        <v>4826425</v>
      </c>
      <c r="N21" s="20" t="s">
        <v>144</v>
      </c>
      <c r="O21">
        <v>46350</v>
      </c>
      <c r="P21">
        <v>4866.75</v>
      </c>
      <c r="Q21" s="23">
        <f>GETPIVOTDATA("Sum of Profit",$N$15,"Product","Mouse")/GETPIVOTDATA("Sum of Sales",$N$15,"Product","Mouse")</f>
        <v>0.105</v>
      </c>
    </row>
    <row r="22" spans="1:17" x14ac:dyDescent="0.3">
      <c r="A22" s="20" t="s">
        <v>187</v>
      </c>
      <c r="B22">
        <v>4826425</v>
      </c>
      <c r="C22">
        <v>571987.25</v>
      </c>
      <c r="J22" s="21" t="s">
        <v>210</v>
      </c>
      <c r="N22" s="20" t="s">
        <v>148</v>
      </c>
      <c r="O22">
        <v>138800</v>
      </c>
      <c r="P22">
        <v>13584</v>
      </c>
      <c r="Q22" s="23">
        <f>GETPIVOTDATA("Sum of Profit",$N$15,"Product","Office Chair")/GETPIVOTDATA("Sum of Sales",$N$15,"Product","Office Chair")</f>
        <v>9.7867435158501437E-2</v>
      </c>
    </row>
    <row r="23" spans="1:17" x14ac:dyDescent="0.3">
      <c r="B23" s="21" t="s">
        <v>208</v>
      </c>
      <c r="N23" s="20" t="s">
        <v>142</v>
      </c>
      <c r="O23">
        <v>391800</v>
      </c>
      <c r="P23">
        <v>59130</v>
      </c>
      <c r="Q23" s="23">
        <f>GETPIVOTDATA("Sum of Profit",$N$15,"Product","Office Table")/GETPIVOTDATA("Sum of Sales",$N$15,"Product","Office Table")</f>
        <v>0.15091883614088822</v>
      </c>
    </row>
    <row r="24" spans="1:17" ht="15" thickBot="1" x14ac:dyDescent="0.35">
      <c r="N24" s="20" t="s">
        <v>146</v>
      </c>
      <c r="O24">
        <v>648000</v>
      </c>
      <c r="P24">
        <v>71100</v>
      </c>
      <c r="Q24" s="23">
        <f>GETPIVOTDATA("Sum of Profit",$N$15,"Product","Phone")/GETPIVOTDATA("Sum of Sales",$N$15,"Product","Phone")</f>
        <v>0.10972222222222222</v>
      </c>
    </row>
    <row r="25" spans="1:17" ht="15" thickBot="1" x14ac:dyDescent="0.35">
      <c r="A25" s="19" t="s">
        <v>186</v>
      </c>
      <c r="B25" t="s">
        <v>189</v>
      </c>
      <c r="C25" t="s">
        <v>188</v>
      </c>
      <c r="D25" s="22" t="s">
        <v>212</v>
      </c>
      <c r="F25" s="19" t="s">
        <v>186</v>
      </c>
      <c r="G25" t="s">
        <v>189</v>
      </c>
      <c r="N25" s="20" t="s">
        <v>145</v>
      </c>
      <c r="O25">
        <v>1238750</v>
      </c>
      <c r="P25">
        <v>138300</v>
      </c>
      <c r="Q25" s="23">
        <f>GETPIVOTDATA("Sum of Profit",$N$15,"Product","Sofa")/GETPIVOTDATA("Sum of Sales",$N$15,"Product","Sofa")</f>
        <v>0.11164480322906155</v>
      </c>
    </row>
    <row r="26" spans="1:17" ht="15" thickBot="1" x14ac:dyDescent="0.35">
      <c r="A26" s="20" t="s">
        <v>143</v>
      </c>
      <c r="B26">
        <v>179430</v>
      </c>
      <c r="C26">
        <v>1536000</v>
      </c>
      <c r="D26" s="23">
        <f>GETPIVOTDATA("Sum of Profit",$N$15,"Product","Bookshelf")/GETPIVOTDATA("Sum of Sales",$N$15,"Product","Bookshelf")</f>
        <v>0.11402777777777778</v>
      </c>
      <c r="F26" s="20" t="s">
        <v>143</v>
      </c>
      <c r="G26">
        <v>179430</v>
      </c>
      <c r="N26" s="20" t="s">
        <v>187</v>
      </c>
      <c r="O26">
        <v>4826425</v>
      </c>
      <c r="P26">
        <v>571987.25</v>
      </c>
      <c r="Q26" s="24">
        <f>GETPIVOTDATA("Sum of Profit",$N$15)/GETPIVOTDATA("Sum of Sales",$N$15)</f>
        <v>0.11851157948170747</v>
      </c>
    </row>
    <row r="27" spans="1:17" x14ac:dyDescent="0.3">
      <c r="A27" s="20" t="s">
        <v>145</v>
      </c>
      <c r="B27">
        <v>138300</v>
      </c>
      <c r="C27">
        <v>1238750</v>
      </c>
      <c r="D27" s="23">
        <f>GETPIVOTDATA("Sum of Profit",$N$15,"Product","Desk Lamp")/GETPIVOTDATA("Sum of Sales",$N$15,"Product","Desk Lamp")</f>
        <v>0.11167235494880547</v>
      </c>
      <c r="F27" s="20" t="s">
        <v>145</v>
      </c>
      <c r="G27">
        <v>138300</v>
      </c>
      <c r="O27" s="21" t="s">
        <v>211</v>
      </c>
    </row>
    <row r="28" spans="1:17" x14ac:dyDescent="0.3">
      <c r="A28" s="20" t="s">
        <v>146</v>
      </c>
      <c r="B28">
        <v>71100</v>
      </c>
      <c r="C28">
        <v>648000</v>
      </c>
      <c r="D28" s="23">
        <f>GETPIVOTDATA("Sum of Profit",$N$15,"Product","Keyboard")/GETPIVOTDATA("Sum of Sales",$N$15,"Product","Keyboard")</f>
        <v>0.13162929745889387</v>
      </c>
      <c r="F28" s="20" t="s">
        <v>146</v>
      </c>
      <c r="G28">
        <v>71100</v>
      </c>
    </row>
    <row r="29" spans="1:17" x14ac:dyDescent="0.3">
      <c r="A29" s="20" t="s">
        <v>139</v>
      </c>
      <c r="B29">
        <v>62586</v>
      </c>
      <c r="C29">
        <v>460800</v>
      </c>
      <c r="D29" s="23">
        <f>GETPIVOTDATA("Sum of Profit",$N$15,"Product","Laptop")/GETPIVOTDATA("Sum of Sales",$N$15,"Product","Laptop")</f>
        <v>0.11681640625</v>
      </c>
      <c r="F29" s="20" t="s">
        <v>139</v>
      </c>
      <c r="G29">
        <v>62586</v>
      </c>
    </row>
    <row r="30" spans="1:17" x14ac:dyDescent="0.3">
      <c r="A30" s="20" t="s">
        <v>142</v>
      </c>
      <c r="B30">
        <v>59130</v>
      </c>
      <c r="C30">
        <v>391800</v>
      </c>
      <c r="D30" s="23">
        <f>GETPIVOTDATA("Sum of Profit",$N$15,"Product","Monitor")/GETPIVOTDATA("Sum of Sales",$N$15,"Product","Monitor")</f>
        <v>0.13582031250000001</v>
      </c>
      <c r="F30" s="20" t="s">
        <v>142</v>
      </c>
      <c r="G30">
        <v>59130</v>
      </c>
    </row>
    <row r="31" spans="1:17" x14ac:dyDescent="0.3">
      <c r="A31" s="20" t="s">
        <v>147</v>
      </c>
      <c r="B31">
        <v>22167</v>
      </c>
      <c r="C31">
        <v>194400</v>
      </c>
      <c r="D31" s="23">
        <f>GETPIVOTDATA("Sum of Profit",$N$15,"Product","Mouse")/GETPIVOTDATA("Sum of Sales",$N$15,"Product","Mouse")</f>
        <v>0.105</v>
      </c>
      <c r="F31" s="20" t="s">
        <v>187</v>
      </c>
      <c r="G31">
        <v>510546</v>
      </c>
    </row>
    <row r="32" spans="1:17" x14ac:dyDescent="0.3">
      <c r="A32" s="20" t="s">
        <v>148</v>
      </c>
      <c r="B32">
        <v>13584</v>
      </c>
      <c r="C32">
        <v>138800</v>
      </c>
      <c r="D32" s="23">
        <f>GETPIVOTDATA("Sum of Profit",$N$15,"Product","Office Chair")/GETPIVOTDATA("Sum of Sales",$N$15,"Product","Office Chair")</f>
        <v>9.7867435158501437E-2</v>
      </c>
      <c r="F32" s="34" t="s">
        <v>256</v>
      </c>
    </row>
    <row r="33" spans="1:4" x14ac:dyDescent="0.3">
      <c r="A33" s="20" t="s">
        <v>140</v>
      </c>
      <c r="B33">
        <v>11007.5</v>
      </c>
      <c r="C33">
        <v>83625</v>
      </c>
      <c r="D33" s="23">
        <f>GETPIVOTDATA("Sum of Profit",$N$15,"Product","Office Table")/GETPIVOTDATA("Sum of Sales",$N$15,"Product","Office Table")</f>
        <v>0.15091883614088822</v>
      </c>
    </row>
    <row r="34" spans="1:4" x14ac:dyDescent="0.3">
      <c r="A34" s="20" t="s">
        <v>141</v>
      </c>
      <c r="B34">
        <v>9816</v>
      </c>
      <c r="C34">
        <v>87900</v>
      </c>
      <c r="D34" s="23">
        <f>GETPIVOTDATA("Sum of Profit",$N$15,"Product","Phone")/GETPIVOTDATA("Sum of Sales",$N$15,"Product","Phone")</f>
        <v>0.10972222222222222</v>
      </c>
    </row>
    <row r="35" spans="1:4" ht="15" thickBot="1" x14ac:dyDescent="0.35">
      <c r="A35" s="20" t="s">
        <v>144</v>
      </c>
      <c r="B35">
        <v>4866.75</v>
      </c>
      <c r="C35">
        <v>46350</v>
      </c>
      <c r="D35" s="23">
        <f>GETPIVOTDATA("Sum of Profit",$N$15,"Product","Sofa")/GETPIVOTDATA("Sum of Sales",$N$15,"Product","Sofa")</f>
        <v>0.11164480322906155</v>
      </c>
    </row>
    <row r="36" spans="1:4" ht="15" thickBot="1" x14ac:dyDescent="0.35">
      <c r="A36" s="20" t="s">
        <v>187</v>
      </c>
      <c r="B36">
        <v>571987.25</v>
      </c>
      <c r="C36">
        <v>4826425</v>
      </c>
      <c r="D36" s="24">
        <f>GETPIVOTDATA("Sum of Profit",$N$15)/GETPIVOTDATA("Sum of Sales",$N$15)</f>
        <v>0.11851157948170747</v>
      </c>
    </row>
    <row r="37" spans="1:4" x14ac:dyDescent="0.3">
      <c r="B37" s="21" t="s">
        <v>213</v>
      </c>
    </row>
  </sheetData>
  <pageMargins left="0.7" right="0.7" top="0.75" bottom="0.75" header="0.3" footer="0.3"/>
  <drawing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Dataset</vt:lpstr>
      <vt:lpstr>Cleaned Dataset</vt:lpstr>
      <vt:lpstr>Cleaning Log </vt:lpstr>
      <vt:lpstr>Analysis</vt:lpstr>
      <vt:lpstr>Dashboard</vt:lpstr>
      <vt:lpstr>Pivot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Shivani Sethi</dc:creator>
  <cp:lastModifiedBy>Shivani Sethi</cp:lastModifiedBy>
  <dcterms:created xsi:type="dcterms:W3CDTF">2026-08-08T10:23:42Z</dcterms:created>
  <dcterms:modified xsi:type="dcterms:W3CDTF">2026-08-12T15:01:45Z</dcterms:modified>
</cp:coreProperties>
</file>